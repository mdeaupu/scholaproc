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Teknik Informatika\Semester 6\Kerja Praktek\"/>
    </mc:Choice>
  </mc:AlternateContent>
  <xr:revisionPtr revIDLastSave="0" documentId="8_{0240D081-DEC8-4D04-AA4D-46E95A2B76D3}" xr6:coauthVersionLast="47" xr6:coauthVersionMax="47" xr10:uidLastSave="{00000000-0000-0000-0000-000000000000}"/>
  <bookViews>
    <workbookView xWindow="-120" yWindow="-120" windowWidth="29040" windowHeight="15720" firstSheet="2" activeTab="4" xr2:uid="{57C38178-338C-4B3D-AD80-09BBB5C87A22}"/>
  </bookViews>
  <sheets>
    <sheet name="In Produk" sheetId="1" r:id="rId1"/>
    <sheet name="In Data" sheetId="2" r:id="rId2"/>
    <sheet name="Dok Perencanaan" sheetId="5" r:id="rId3"/>
    <sheet name="Dok Hasil Nego" sheetId="4" r:id="rId4"/>
    <sheet name="Surat Pesanan" sheetId="6" r:id="rId5"/>
    <sheet name="Surat Hasil Pemeriksaan" sheetId="7" r:id="rId6"/>
    <sheet name="Berita Acara Serah Terima" sheetId="8" r:id="rId7"/>
    <sheet name="Faktur" sheetId="9" r:id="rId8"/>
    <sheet name="Kuitansi" sheetId="10" r:id="rId9"/>
    <sheet name="Cover" sheetId="11" r:id="rId10"/>
    <sheet name="Identitas Penyedia" sheetId="12" r:id="rId11"/>
  </sheets>
  <externalReferences>
    <externalReference r:id="rId12"/>
    <externalReference r:id="rId13"/>
  </externalReferences>
  <definedNames>
    <definedName name="_xlnm.Print_Area" localSheetId="6">'Berita Acara Serah Terima'!$C$2:$J$78</definedName>
    <definedName name="_xlnm.Print_Area" localSheetId="9">Cover!$B$2:$K$55</definedName>
    <definedName name="_xlnm.Print_Area" localSheetId="3">'Dok Hasil Nego'!$C$1:$L$40</definedName>
    <definedName name="_xlnm.Print_Area" localSheetId="2">'Dok Perencanaan'!$C$2:$G$43</definedName>
    <definedName name="_xlnm.Print_Area" localSheetId="7">Faktur!$B$2:$G$49</definedName>
    <definedName name="_xlnm.Print_Area" localSheetId="4">'Surat Pesanan'!$C$2:$I$68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6" i="9" l="1"/>
  <c r="C26" i="9"/>
  <c r="D26" i="9"/>
  <c r="E26" i="9"/>
  <c r="F26" i="9"/>
  <c r="B27" i="9"/>
  <c r="C27" i="9"/>
  <c r="D27" i="9"/>
  <c r="E27" i="9"/>
  <c r="F27" i="9"/>
  <c r="B28" i="9"/>
  <c r="C28" i="9"/>
  <c r="D28" i="9"/>
  <c r="E28" i="9"/>
  <c r="F28" i="9"/>
  <c r="B29" i="9"/>
  <c r="C29" i="9"/>
  <c r="D29" i="9"/>
  <c r="E29" i="9"/>
  <c r="F29" i="9"/>
  <c r="B30" i="9"/>
  <c r="C30" i="9"/>
  <c r="D30" i="9"/>
  <c r="E30" i="9"/>
  <c r="F30" i="9"/>
  <c r="B31" i="9"/>
  <c r="C31" i="9"/>
  <c r="D31" i="9"/>
  <c r="E31" i="9"/>
  <c r="F31" i="9"/>
  <c r="B32" i="9"/>
  <c r="C32" i="9"/>
  <c r="D32" i="9"/>
  <c r="E32" i="9"/>
  <c r="F32" i="9"/>
  <c r="B33" i="9"/>
  <c r="C33" i="9"/>
  <c r="D33" i="9"/>
  <c r="E33" i="9"/>
  <c r="F33" i="9"/>
  <c r="C47" i="8"/>
  <c r="D47" i="8"/>
  <c r="F47" i="8"/>
  <c r="C48" i="8"/>
  <c r="D48" i="8"/>
  <c r="F48" i="8"/>
  <c r="C49" i="8"/>
  <c r="D49" i="8"/>
  <c r="F49" i="8"/>
  <c r="C50" i="8"/>
  <c r="D50" i="8"/>
  <c r="F50" i="8"/>
  <c r="C51" i="8"/>
  <c r="D51" i="8"/>
  <c r="F51" i="8"/>
  <c r="C52" i="8"/>
  <c r="D52" i="8"/>
  <c r="F52" i="8"/>
  <c r="C53" i="8"/>
  <c r="D53" i="8"/>
  <c r="F53" i="8"/>
  <c r="C54" i="8"/>
  <c r="D54" i="8"/>
  <c r="F54" i="8"/>
  <c r="C37" i="7"/>
  <c r="D37" i="7"/>
  <c r="F37" i="7"/>
  <c r="C38" i="7"/>
  <c r="D38" i="7"/>
  <c r="F38" i="7"/>
  <c r="C39" i="7"/>
  <c r="D39" i="7"/>
  <c r="F39" i="7"/>
  <c r="C40" i="7"/>
  <c r="D40" i="7"/>
  <c r="F40" i="7"/>
  <c r="C41" i="7"/>
  <c r="D41" i="7"/>
  <c r="F41" i="7"/>
  <c r="C42" i="7"/>
  <c r="D42" i="7"/>
  <c r="F42" i="7"/>
  <c r="C43" i="7"/>
  <c r="D43" i="7"/>
  <c r="F43" i="7"/>
  <c r="C44" i="7"/>
  <c r="D44" i="7"/>
  <c r="F44" i="7"/>
  <c r="C41" i="6"/>
  <c r="D41" i="6"/>
  <c r="G41" i="6"/>
  <c r="H41" i="6"/>
  <c r="C42" i="6"/>
  <c r="D42" i="6"/>
  <c r="G42" i="6"/>
  <c r="H42" i="6"/>
  <c r="C43" i="6"/>
  <c r="D43" i="6"/>
  <c r="G43" i="6"/>
  <c r="H43" i="6"/>
  <c r="C44" i="6"/>
  <c r="D44" i="6"/>
  <c r="G44" i="6"/>
  <c r="H44" i="6"/>
  <c r="C45" i="6"/>
  <c r="D45" i="6"/>
  <c r="G45" i="6"/>
  <c r="H45" i="6"/>
  <c r="C46" i="6"/>
  <c r="D46" i="6"/>
  <c r="G46" i="6"/>
  <c r="H46" i="6"/>
  <c r="C47" i="6"/>
  <c r="D47" i="6"/>
  <c r="G47" i="6"/>
  <c r="H47" i="6"/>
  <c r="C48" i="6"/>
  <c r="D48" i="6"/>
  <c r="G48" i="6"/>
  <c r="H48" i="6"/>
  <c r="D10" i="2"/>
  <c r="B21" i="9" l="1"/>
  <c r="C21" i="9"/>
  <c r="D21" i="9"/>
  <c r="E21" i="9"/>
  <c r="F21" i="9"/>
  <c r="B22" i="9"/>
  <c r="C22" i="9"/>
  <c r="D22" i="9"/>
  <c r="E22" i="9"/>
  <c r="F22" i="9"/>
  <c r="B23" i="9"/>
  <c r="C23" i="9"/>
  <c r="D23" i="9"/>
  <c r="E23" i="9"/>
  <c r="F23" i="9"/>
  <c r="B24" i="9"/>
  <c r="C24" i="9"/>
  <c r="D24" i="9"/>
  <c r="E24" i="9"/>
  <c r="F24" i="9"/>
  <c r="B25" i="9"/>
  <c r="C25" i="9"/>
  <c r="D25" i="9"/>
  <c r="E25" i="9"/>
  <c r="F25" i="9"/>
  <c r="C42" i="8"/>
  <c r="D42" i="8"/>
  <c r="F42" i="8"/>
  <c r="C43" i="8"/>
  <c r="D43" i="8"/>
  <c r="F43" i="8"/>
  <c r="C44" i="8"/>
  <c r="D44" i="8"/>
  <c r="F44" i="8"/>
  <c r="C45" i="8"/>
  <c r="D45" i="8"/>
  <c r="F45" i="8"/>
  <c r="C46" i="8"/>
  <c r="D46" i="8"/>
  <c r="F46" i="8"/>
  <c r="C32" i="7"/>
  <c r="D32" i="7"/>
  <c r="F32" i="7"/>
  <c r="C33" i="7"/>
  <c r="D33" i="7"/>
  <c r="F33" i="7"/>
  <c r="C34" i="7"/>
  <c r="D34" i="7"/>
  <c r="F34" i="7"/>
  <c r="C35" i="7"/>
  <c r="D35" i="7"/>
  <c r="F35" i="7"/>
  <c r="C36" i="7"/>
  <c r="D36" i="7"/>
  <c r="F36" i="7"/>
  <c r="C36" i="6"/>
  <c r="D36" i="6"/>
  <c r="G36" i="6"/>
  <c r="H36" i="6"/>
  <c r="C37" i="6"/>
  <c r="D37" i="6"/>
  <c r="G37" i="6"/>
  <c r="H37" i="6"/>
  <c r="C38" i="6"/>
  <c r="D38" i="6"/>
  <c r="G38" i="6"/>
  <c r="H38" i="6"/>
  <c r="C39" i="6"/>
  <c r="D39" i="6"/>
  <c r="G39" i="6"/>
  <c r="H39" i="6"/>
  <c r="C40" i="6"/>
  <c r="D40" i="6"/>
  <c r="G40" i="6"/>
  <c r="H40" i="6"/>
  <c r="B19" i="9" l="1"/>
  <c r="C19" i="9"/>
  <c r="D19" i="9"/>
  <c r="E19" i="9"/>
  <c r="F19" i="9"/>
  <c r="B20" i="9"/>
  <c r="C20" i="9"/>
  <c r="D20" i="9"/>
  <c r="E20" i="9"/>
  <c r="F20" i="9"/>
  <c r="C40" i="8"/>
  <c r="D40" i="8"/>
  <c r="F40" i="8"/>
  <c r="C41" i="8"/>
  <c r="D41" i="8"/>
  <c r="F41" i="8"/>
  <c r="C30" i="7"/>
  <c r="D30" i="7"/>
  <c r="F30" i="7"/>
  <c r="C31" i="7"/>
  <c r="D31" i="7"/>
  <c r="F31" i="7"/>
  <c r="C34" i="6"/>
  <c r="D34" i="6"/>
  <c r="G34" i="6"/>
  <c r="H34" i="6"/>
  <c r="C35" i="6"/>
  <c r="D35" i="6"/>
  <c r="G35" i="6"/>
  <c r="H35" i="6"/>
  <c r="F15" i="8" l="1"/>
  <c r="F34" i="1"/>
  <c r="E34" i="1" s="1"/>
  <c r="J34" i="1" s="1"/>
  <c r="I34" i="1"/>
  <c r="F17" i="1"/>
  <c r="E17" i="1" s="1"/>
  <c r="J17" i="1" s="1"/>
  <c r="I17" i="1"/>
  <c r="F18" i="1"/>
  <c r="E18" i="1" s="1"/>
  <c r="J18" i="1" s="1"/>
  <c r="I18" i="1"/>
  <c r="F19" i="1"/>
  <c r="E19" i="1" s="1"/>
  <c r="J19" i="1" s="1"/>
  <c r="I19" i="1"/>
  <c r="F20" i="1"/>
  <c r="E20" i="1" s="1"/>
  <c r="J20" i="1" s="1"/>
  <c r="I20" i="1"/>
  <c r="F21" i="1"/>
  <c r="E21" i="1" s="1"/>
  <c r="J21" i="1" s="1"/>
  <c r="I21" i="1"/>
  <c r="F22" i="1"/>
  <c r="E22" i="1" s="1"/>
  <c r="J22" i="1" s="1"/>
  <c r="I22" i="1"/>
  <c r="F23" i="1"/>
  <c r="E23" i="1" s="1"/>
  <c r="J23" i="1" s="1"/>
  <c r="I23" i="1"/>
  <c r="F24" i="1"/>
  <c r="E24" i="1" s="1"/>
  <c r="J24" i="1" s="1"/>
  <c r="I24" i="1"/>
  <c r="F25" i="1"/>
  <c r="E25" i="1" s="1"/>
  <c r="J25" i="1" s="1"/>
  <c r="I25" i="1"/>
  <c r="F26" i="1"/>
  <c r="E26" i="1" s="1"/>
  <c r="J26" i="1" s="1"/>
  <c r="I26" i="1"/>
  <c r="F27" i="1"/>
  <c r="E27" i="1" s="1"/>
  <c r="J27" i="1" s="1"/>
  <c r="I27" i="1"/>
  <c r="F28" i="1"/>
  <c r="E28" i="1" s="1"/>
  <c r="J28" i="1" s="1"/>
  <c r="I28" i="1"/>
  <c r="F29" i="1"/>
  <c r="E29" i="1" s="1"/>
  <c r="J29" i="1" s="1"/>
  <c r="I29" i="1"/>
  <c r="F30" i="1"/>
  <c r="E30" i="1" s="1"/>
  <c r="J30" i="1" s="1"/>
  <c r="I30" i="1"/>
  <c r="F31" i="1"/>
  <c r="E31" i="1" s="1"/>
  <c r="J31" i="1" s="1"/>
  <c r="I31" i="1"/>
  <c r="F32" i="1"/>
  <c r="E32" i="1" s="1"/>
  <c r="J32" i="1" s="1"/>
  <c r="I32" i="1"/>
  <c r="F33" i="1"/>
  <c r="E33" i="1" s="1"/>
  <c r="J33" i="1" s="1"/>
  <c r="I33" i="1"/>
  <c r="G29" i="9" l="1"/>
  <c r="I44" i="6"/>
  <c r="G33" i="9"/>
  <c r="I48" i="6"/>
  <c r="G31" i="9"/>
  <c r="I46" i="6"/>
  <c r="I47" i="6"/>
  <c r="G32" i="9"/>
  <c r="G30" i="9"/>
  <c r="I45" i="6"/>
  <c r="I43" i="6"/>
  <c r="G28" i="9"/>
  <c r="F57" i="6"/>
  <c r="F10" i="2"/>
  <c r="F13" i="1"/>
  <c r="E13" i="1" s="1"/>
  <c r="J13" i="1" s="1"/>
  <c r="I13" i="1"/>
  <c r="F14" i="1"/>
  <c r="E14" i="1" s="1"/>
  <c r="J14" i="1" s="1"/>
  <c r="I14" i="1"/>
  <c r="F15" i="1"/>
  <c r="E15" i="1" s="1"/>
  <c r="J15" i="1" s="1"/>
  <c r="I15" i="1"/>
  <c r="F16" i="1"/>
  <c r="E16" i="1" s="1"/>
  <c r="J16" i="1" s="1"/>
  <c r="I16" i="1"/>
  <c r="F21" i="6"/>
  <c r="C53" i="11"/>
  <c r="F14" i="7"/>
  <c r="I11" i="2"/>
  <c r="F11" i="2"/>
  <c r="H35" i="1"/>
  <c r="C24" i="4"/>
  <c r="D24" i="4"/>
  <c r="F24" i="4"/>
  <c r="C25" i="4"/>
  <c r="D25" i="4"/>
  <c r="F25" i="4"/>
  <c r="C26" i="4"/>
  <c r="D26" i="4"/>
  <c r="F26" i="4"/>
  <c r="C27" i="4"/>
  <c r="D27" i="4"/>
  <c r="F27" i="4"/>
  <c r="I9" i="1"/>
  <c r="I10" i="1"/>
  <c r="I11" i="1"/>
  <c r="I12" i="1"/>
  <c r="F9" i="1"/>
  <c r="E9" i="1" s="1"/>
  <c r="J9" i="1" s="1"/>
  <c r="I24" i="4" s="1"/>
  <c r="F10" i="1"/>
  <c r="E10" i="1" s="1"/>
  <c r="J10" i="1" s="1"/>
  <c r="I25" i="4" s="1"/>
  <c r="F11" i="1"/>
  <c r="E11" i="1" s="1"/>
  <c r="J11" i="1" s="1"/>
  <c r="I26" i="4" s="1"/>
  <c r="F12" i="1"/>
  <c r="E12" i="1" s="1"/>
  <c r="G27" i="4" s="1"/>
  <c r="G26" i="9" l="1"/>
  <c r="I41" i="6"/>
  <c r="G27" i="9"/>
  <c r="I42" i="6"/>
  <c r="G24" i="9"/>
  <c r="I39" i="6"/>
  <c r="H26" i="4"/>
  <c r="G22" i="9"/>
  <c r="I37" i="6"/>
  <c r="H25" i="4"/>
  <c r="G21" i="9"/>
  <c r="I36" i="6"/>
  <c r="G25" i="9"/>
  <c r="I40" i="6"/>
  <c r="I38" i="6"/>
  <c r="G23" i="9"/>
  <c r="G20" i="9"/>
  <c r="I35" i="6"/>
  <c r="I10" i="2"/>
  <c r="G24" i="4"/>
  <c r="J12" i="1"/>
  <c r="I27" i="4" s="1"/>
  <c r="G26" i="4"/>
  <c r="G25" i="4"/>
  <c r="J24" i="4"/>
  <c r="J25" i="4"/>
  <c r="J26" i="4"/>
  <c r="H24" i="4"/>
  <c r="J27" i="4"/>
  <c r="H27" i="4"/>
  <c r="D9" i="2"/>
  <c r="F14" i="5"/>
  <c r="F13" i="5"/>
  <c r="G35" i="1"/>
  <c r="J22" i="10"/>
  <c r="F6" i="1"/>
  <c r="E6" i="1" s="1"/>
  <c r="I6" i="1"/>
  <c r="I7" i="1"/>
  <c r="I8" i="1"/>
  <c r="C39" i="11"/>
  <c r="C21" i="11"/>
  <c r="C19" i="11"/>
  <c r="E17" i="10"/>
  <c r="B14" i="9"/>
  <c r="B13" i="9"/>
  <c r="C34" i="8"/>
  <c r="F31" i="8"/>
  <c r="F30" i="8"/>
  <c r="F29" i="8"/>
  <c r="F66" i="7"/>
  <c r="F22" i="7"/>
  <c r="F21" i="7"/>
  <c r="C8" i="8"/>
  <c r="D6" i="8"/>
  <c r="C7" i="7"/>
  <c r="C6" i="7"/>
  <c r="C8" i="6"/>
  <c r="C7" i="6"/>
  <c r="C7" i="4"/>
  <c r="C6" i="4"/>
  <c r="C8" i="5"/>
  <c r="C7" i="5"/>
  <c r="H56" i="7"/>
  <c r="H49" i="7"/>
  <c r="F48" i="9"/>
  <c r="F42" i="9"/>
  <c r="C48" i="10"/>
  <c r="C47" i="10"/>
  <c r="J33" i="10"/>
  <c r="J24" i="10"/>
  <c r="G19" i="9" l="1"/>
  <c r="I34" i="6"/>
  <c r="I35" i="1"/>
  <c r="F9" i="2"/>
  <c r="F56" i="6" s="1"/>
  <c r="I9" i="2"/>
  <c r="J6" i="1"/>
  <c r="D36" i="4"/>
  <c r="H68" i="8"/>
  <c r="H67" i="8"/>
  <c r="H61" i="8"/>
  <c r="F24" i="8"/>
  <c r="F23" i="8"/>
  <c r="F22" i="8"/>
  <c r="F21" i="8"/>
  <c r="F20" i="8"/>
  <c r="F17" i="8"/>
  <c r="F16" i="8"/>
  <c r="C7" i="8"/>
  <c r="C30" i="6"/>
  <c r="F27" i="6"/>
  <c r="F26" i="6"/>
  <c r="F25" i="6"/>
  <c r="F24" i="6"/>
  <c r="F16" i="7"/>
  <c r="E49" i="11"/>
  <c r="E48" i="11"/>
  <c r="E67" i="7"/>
  <c r="C76" i="8"/>
  <c r="C75" i="8"/>
  <c r="K45" i="12"/>
  <c r="K44" i="12"/>
  <c r="K43" i="12"/>
  <c r="K40" i="12"/>
  <c r="K23" i="12"/>
  <c r="I21" i="4" l="1"/>
  <c r="C37" i="2"/>
  <c r="C5" i="5"/>
  <c r="C4" i="4"/>
  <c r="C5" i="6"/>
  <c r="K50" i="12"/>
  <c r="H50" i="12"/>
  <c r="D50" i="12"/>
  <c r="K49" i="12"/>
  <c r="H49" i="12"/>
  <c r="D49" i="12"/>
  <c r="K38" i="12"/>
  <c r="K39" i="12"/>
  <c r="K30" i="12"/>
  <c r="K28" i="12"/>
  <c r="K27" i="12"/>
  <c r="G11" i="12"/>
  <c r="G10" i="12"/>
  <c r="G9" i="12"/>
  <c r="G8" i="12"/>
  <c r="G7" i="12"/>
  <c r="G6" i="12"/>
  <c r="G5" i="12"/>
  <c r="C4" i="8"/>
  <c r="C3" i="8"/>
  <c r="E46" i="11"/>
  <c r="B18" i="9"/>
  <c r="C18" i="9"/>
  <c r="D18" i="9"/>
  <c r="E18" i="9"/>
  <c r="F18" i="9"/>
  <c r="G17" i="9"/>
  <c r="F17" i="9"/>
  <c r="E17" i="9"/>
  <c r="D17" i="9"/>
  <c r="C17" i="9"/>
  <c r="B17" i="9"/>
  <c r="C39" i="8"/>
  <c r="D39" i="8"/>
  <c r="F39" i="8"/>
  <c r="F38" i="8"/>
  <c r="D38" i="8"/>
  <c r="C38" i="8"/>
  <c r="C29" i="7"/>
  <c r="D29" i="7"/>
  <c r="F29" i="7"/>
  <c r="F28" i="7"/>
  <c r="D28" i="7"/>
  <c r="C28" i="7"/>
  <c r="C33" i="6"/>
  <c r="D33" i="6"/>
  <c r="G33" i="6"/>
  <c r="H33" i="6"/>
  <c r="I33" i="6"/>
  <c r="I32" i="6"/>
  <c r="H32" i="6"/>
  <c r="G32" i="6"/>
  <c r="D32" i="6"/>
  <c r="C32" i="6"/>
  <c r="C22" i="4"/>
  <c r="D22" i="4"/>
  <c r="F22" i="4"/>
  <c r="C23" i="4"/>
  <c r="D23" i="4"/>
  <c r="F23" i="4"/>
  <c r="J21" i="4"/>
  <c r="H21" i="4"/>
  <c r="F21" i="4"/>
  <c r="D21" i="4"/>
  <c r="C21" i="4"/>
  <c r="G42" i="5"/>
  <c r="G41" i="5"/>
  <c r="G32" i="5"/>
  <c r="F15" i="5"/>
  <c r="G24" i="5"/>
  <c r="G23" i="5"/>
  <c r="G22" i="5"/>
  <c r="C38" i="11"/>
  <c r="C28" i="11"/>
  <c r="C27" i="11"/>
  <c r="C17" i="11"/>
  <c r="C34" i="10"/>
  <c r="C33" i="10"/>
  <c r="E20" i="10"/>
  <c r="K15" i="10"/>
  <c r="K14" i="10"/>
  <c r="K13" i="10"/>
  <c r="C49" i="9"/>
  <c r="C48" i="9"/>
  <c r="F13" i="9"/>
  <c r="F12" i="9"/>
  <c r="D68" i="8"/>
  <c r="D67" i="8"/>
  <c r="F27" i="8"/>
  <c r="F14" i="8"/>
  <c r="C11" i="8"/>
  <c r="C5" i="8"/>
  <c r="C10" i="7"/>
  <c r="D57" i="7"/>
  <c r="D56" i="7"/>
  <c r="F19" i="7"/>
  <c r="F15" i="7"/>
  <c r="F13" i="7"/>
  <c r="C3" i="7"/>
  <c r="C4" i="7"/>
  <c r="C5" i="7"/>
  <c r="C2" i="7"/>
  <c r="G67" i="6"/>
  <c r="G66" i="6"/>
  <c r="F19" i="6"/>
  <c r="C16" i="6"/>
  <c r="C15" i="6"/>
  <c r="C12" i="6"/>
  <c r="C11" i="6"/>
  <c r="C6" i="6"/>
  <c r="C4" i="6"/>
  <c r="C3" i="6"/>
  <c r="K30" i="4"/>
  <c r="K37" i="4"/>
  <c r="K36" i="4"/>
  <c r="F17" i="4"/>
  <c r="F16" i="4"/>
  <c r="F15" i="4"/>
  <c r="F14" i="4"/>
  <c r="F13" i="4"/>
  <c r="C10" i="4"/>
  <c r="C11" i="5"/>
  <c r="C5" i="4"/>
  <c r="C3" i="4"/>
  <c r="C2" i="4"/>
  <c r="C6" i="5"/>
  <c r="C4" i="5"/>
  <c r="C3" i="5"/>
  <c r="G18" i="5"/>
  <c r="J23" i="4"/>
  <c r="F8" i="1"/>
  <c r="E8" i="1" s="1"/>
  <c r="J8" i="1" s="1"/>
  <c r="I23" i="4" s="1"/>
  <c r="H22" i="4"/>
  <c r="F7" i="1"/>
  <c r="C46" i="2"/>
  <c r="G21" i="5" s="1"/>
  <c r="C45" i="2"/>
  <c r="G20" i="5" s="1"/>
  <c r="J11" i="2"/>
  <c r="G11" i="2"/>
  <c r="C86" i="12"/>
  <c r="C85" i="12"/>
  <c r="C77" i="12"/>
  <c r="L72" i="12"/>
  <c r="L70" i="12"/>
  <c r="K70" i="12"/>
  <c r="H70" i="12"/>
  <c r="E70" i="12"/>
  <c r="L69" i="12"/>
  <c r="K69" i="12"/>
  <c r="H69" i="12"/>
  <c r="E69" i="12"/>
  <c r="M63" i="12"/>
  <c r="M62" i="12"/>
  <c r="M61" i="12"/>
  <c r="M60" i="12"/>
  <c r="C14" i="12"/>
  <c r="J34" i="10"/>
  <c r="F49" i="9"/>
  <c r="H57" i="7"/>
  <c r="D37" i="4"/>
  <c r="K11" i="2"/>
  <c r="H11" i="2"/>
  <c r="I49" i="6" l="1"/>
  <c r="J49" i="6" s="1"/>
  <c r="F28" i="4"/>
  <c r="E7" i="1"/>
  <c r="E35" i="1" s="1"/>
  <c r="F35" i="1"/>
  <c r="C47" i="2"/>
  <c r="G10" i="2"/>
  <c r="H23" i="4"/>
  <c r="G23" i="4"/>
  <c r="J22" i="4"/>
  <c r="J28" i="4" s="1"/>
  <c r="G21" i="4"/>
  <c r="G18" i="9"/>
  <c r="G34" i="9" s="1"/>
  <c r="J10" i="2"/>
  <c r="J9" i="2"/>
  <c r="G9" i="2"/>
  <c r="D8" i="2"/>
  <c r="D7" i="2" s="1"/>
  <c r="K9" i="2"/>
  <c r="B39" i="9"/>
  <c r="H9" i="2"/>
  <c r="K10" i="2"/>
  <c r="H10" i="2"/>
  <c r="I8" i="2" l="1"/>
  <c r="F8" i="2"/>
  <c r="G22" i="4"/>
  <c r="J7" i="1"/>
  <c r="J35" i="1" s="1"/>
  <c r="H38" i="1"/>
  <c r="I38" i="1" s="1"/>
  <c r="I52" i="6" s="1"/>
  <c r="C41" i="2"/>
  <c r="H36" i="1"/>
  <c r="I36" i="1" s="1"/>
  <c r="I50" i="6" s="1"/>
  <c r="J8" i="2"/>
  <c r="G8" i="2"/>
  <c r="H8" i="2"/>
  <c r="K8" i="2"/>
  <c r="C42" i="2"/>
  <c r="C13" i="8" l="1"/>
  <c r="I7" i="2"/>
  <c r="F7" i="2"/>
  <c r="D6" i="2"/>
  <c r="I22" i="4"/>
  <c r="I28" i="4" s="1"/>
  <c r="C39" i="2"/>
  <c r="H37" i="1"/>
  <c r="I37" i="1" s="1"/>
  <c r="I51" i="6" s="1"/>
  <c r="G37" i="9"/>
  <c r="G19" i="5"/>
  <c r="F18" i="4"/>
  <c r="E18" i="10"/>
  <c r="G35" i="9"/>
  <c r="J7" i="2"/>
  <c r="G7" i="2"/>
  <c r="C40" i="2"/>
  <c r="K7" i="2"/>
  <c r="H7" i="2"/>
  <c r="I6" i="2" l="1"/>
  <c r="F6" i="2"/>
  <c r="E19" i="10"/>
  <c r="C44" i="2"/>
  <c r="E47" i="11" s="1"/>
  <c r="C12" i="7"/>
  <c r="G36" i="9"/>
  <c r="I39" i="1"/>
  <c r="I53" i="6" s="1"/>
  <c r="J6" i="2"/>
  <c r="G6" i="2"/>
  <c r="D5" i="2"/>
  <c r="I5" i="2" s="1"/>
  <c r="H6" i="2"/>
  <c r="K6" i="2"/>
  <c r="G38" i="9" l="1"/>
  <c r="F5" i="2"/>
  <c r="J5" i="2"/>
  <c r="G5" i="2"/>
  <c r="K5" i="2"/>
  <c r="H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1" authorId="0" shapeId="0" xr:uid="{776CEC6E-2FF0-4A54-A1AA-EF5F7E0B3C76}">
      <text>
        <r>
          <rPr>
            <b/>
            <sz val="16"/>
            <color indexed="81"/>
            <rFont val="Tahoma"/>
            <family val="2"/>
          </rPr>
          <t>ISI PERTAMA KALI</t>
        </r>
      </text>
    </comment>
  </commentList>
</comments>
</file>

<file path=xl/sharedStrings.xml><?xml version="1.0" encoding="utf-8"?>
<sst xmlns="http://schemas.openxmlformats.org/spreadsheetml/2006/main" count="570" uniqueCount="327">
  <si>
    <t>NO</t>
  </si>
  <si>
    <t>NAMA BARANG</t>
  </si>
  <si>
    <t>SATUAN</t>
  </si>
  <si>
    <t>HARGA PENAWARAN</t>
  </si>
  <si>
    <t>HARGA NEGOSIASI</t>
  </si>
  <si>
    <t>QTY</t>
  </si>
  <si>
    <t>JML HARGA NEGOSIASI</t>
  </si>
  <si>
    <t>JUMLAH HARGA PENAWARAN</t>
  </si>
  <si>
    <t>JUMLAH</t>
  </si>
  <si>
    <t>PPN</t>
  </si>
  <si>
    <t>PPh 22</t>
  </si>
  <si>
    <t>PPh 23</t>
  </si>
  <si>
    <t>JUMLAH SETEALH PAJAK</t>
  </si>
  <si>
    <t>ISI ANGKA 1 APABILA DIKENAKAN PAJAK PPN atau PPh</t>
  </si>
  <si>
    <t>ISI ANGKA 0 APABILA TIDAK DIKENAKAN PPN atau PPh</t>
  </si>
  <si>
    <t>ISI SESUAI ANGKA YANG TERTERA DI RKSAS</t>
  </si>
  <si>
    <t>A.</t>
  </si>
  <si>
    <t>PROSES DAN BERITA ACARA</t>
  </si>
  <si>
    <t>URAIAN KEGIATAN</t>
  </si>
  <si>
    <t>NOMOR SURAT</t>
  </si>
  <si>
    <t>TANGGAL PELAKSANAAN</t>
  </si>
  <si>
    <t>ANGKA</t>
  </si>
  <si>
    <t>HARI</t>
  </si>
  <si>
    <t>TANGGAL</t>
  </si>
  <si>
    <t>BULAN</t>
  </si>
  <si>
    <t>TAHUN</t>
  </si>
  <si>
    <t>WAKTU</t>
  </si>
  <si>
    <t>HURUF</t>
  </si>
  <si>
    <t>DOKUMEN PERENCANAAN</t>
  </si>
  <si>
    <t>DOKUMEN HASIL NEGOSIASI</t>
  </si>
  <si>
    <t>SURAT PEMESANAN</t>
  </si>
  <si>
    <t>SURAT HASIL PEMERIKSAAN BARANG</t>
  </si>
  <si>
    <t>BERITA ACARA SERAH TERIMA</t>
  </si>
  <si>
    <t>FAKTUR</t>
  </si>
  <si>
    <t>KUITANSI</t>
  </si>
  <si>
    <t xml:space="preserve">   </t>
  </si>
  <si>
    <t>B.</t>
  </si>
  <si>
    <t>BAHAN KOP SURAT</t>
  </si>
  <si>
    <t>No.</t>
  </si>
  <si>
    <t>Uraian</t>
  </si>
  <si>
    <t>Keterangan</t>
  </si>
  <si>
    <t>K/L/D/I PUSAT</t>
  </si>
  <si>
    <t>PEMERINTAH DAERAH PROVINSI JAWA BARAT</t>
  </si>
  <si>
    <t>K/L/D/I PROPINSI</t>
  </si>
  <si>
    <t>NAMA SATUAN PENDIDIKAN</t>
  </si>
  <si>
    <t>ALAMAT SATUAN PENDIDIKAN</t>
  </si>
  <si>
    <t>ALAMAT</t>
  </si>
  <si>
    <t>TELEPON</t>
  </si>
  <si>
    <t>C.</t>
  </si>
  <si>
    <t>PELAKSANA</t>
  </si>
  <si>
    <t>NAMA JABATAN</t>
  </si>
  <si>
    <t>Pelaksana</t>
  </si>
  <si>
    <t>NIP</t>
  </si>
  <si>
    <t>D.</t>
  </si>
  <si>
    <t>PEMERIKSA BARANG</t>
  </si>
  <si>
    <t>Pemeriksa Barang</t>
  </si>
  <si>
    <t>NAMA</t>
  </si>
  <si>
    <t xml:space="preserve">NIP </t>
  </si>
  <si>
    <t>E.</t>
  </si>
  <si>
    <t>DATA PAKET PEKERJAAN</t>
  </si>
  <si>
    <t>Data Paket</t>
  </si>
  <si>
    <t>YANG MENYERAHKAN PEMBAYARAN</t>
  </si>
  <si>
    <t>KATEGORI BARANG/JASA</t>
  </si>
  <si>
    <t>NILAI HARGA PENAWARAN</t>
  </si>
  <si>
    <t>TERBILANG NILAI HARGA PENAWARAN</t>
  </si>
  <si>
    <t>NILAI HARGA NEGOSIASI</t>
  </si>
  <si>
    <t>TERBILANG NILAI KONTRAK</t>
  </si>
  <si>
    <t>TANGGAL MULAI PEKERJAAN</t>
  </si>
  <si>
    <t>TANGGAL SELESAI PEKERJAAN</t>
  </si>
  <si>
    <t>LAMA PEKERJAAN</t>
  </si>
  <si>
    <t>LAMA PEKERJAAN KETIK MANUAL</t>
  </si>
  <si>
    <t>TAHUN ANGGARAN</t>
  </si>
  <si>
    <t>SUMBER DANA</t>
  </si>
  <si>
    <t>F.</t>
  </si>
  <si>
    <t>DATA PENYEDIA</t>
  </si>
  <si>
    <t>Penyedia Barang/Jasa</t>
  </si>
  <si>
    <t>Nama Direktur</t>
  </si>
  <si>
    <t>NIK Direktur</t>
  </si>
  <si>
    <t>Alamat Direktur</t>
  </si>
  <si>
    <t>Persentase Keuangan</t>
  </si>
  <si>
    <t>Nama Jabatan</t>
  </si>
  <si>
    <t>Direktur</t>
  </si>
  <si>
    <t>NPWP Direktur</t>
  </si>
  <si>
    <t>Nomor Telepon Direktur</t>
  </si>
  <si>
    <t>Nama Komanditer</t>
  </si>
  <si>
    <t>NIK Komanditer</t>
  </si>
  <si>
    <t>Alamat Komanditer</t>
  </si>
  <si>
    <t>NPWP Komanditer</t>
  </si>
  <si>
    <t>Nomor Telepon Komanditer</t>
  </si>
  <si>
    <t>Nama Perusahaan</t>
  </si>
  <si>
    <t>Alamat Perusahaan</t>
  </si>
  <si>
    <t>NPWP Perusahaan</t>
  </si>
  <si>
    <t>Email Perusahaan</t>
  </si>
  <si>
    <t xml:space="preserve">Nomor Akata Pendirian </t>
  </si>
  <si>
    <t>Tanggal Akta Pendirian</t>
  </si>
  <si>
    <t>Nama Notaris</t>
  </si>
  <si>
    <t>Nomor Akta Perubahan Terkahir</t>
  </si>
  <si>
    <t>Tanggal Akta Perubahan Terakhir</t>
  </si>
  <si>
    <t>Nama Izin Usaha</t>
  </si>
  <si>
    <t>Nomor Izin Usaha</t>
  </si>
  <si>
    <t>Berlaku Sampai</t>
  </si>
  <si>
    <t>Instansi Pemberi Izin</t>
  </si>
  <si>
    <t>:</t>
  </si>
  <si>
    <t>JENIS</t>
  </si>
  <si>
    <t>KETERANGAN</t>
  </si>
  <si>
    <t>JUMLAH BARANG/JASA</t>
  </si>
  <si>
    <t>TOTAL ANGGARAN</t>
  </si>
  <si>
    <t>LAMA PENGERJAAN</t>
  </si>
  <si>
    <t>SUMBER ANGGARAN</t>
  </si>
  <si>
    <t>PERSYARATAN PENYEDIA</t>
  </si>
  <si>
    <t>PERORANGAN/BADAN USAHA</t>
  </si>
  <si>
    <t>MEMENUHI SYARAT SEBAGAI BERIKUT :</t>
  </si>
  <si>
    <t>A. IDENTITAS PENYEDIA</t>
  </si>
  <si>
    <t>B. NOMOR POKOK WAJIB PAJAK (NPWP)</t>
  </si>
  <si>
    <t>C. NOMOR INDUK BERUSAHA (NIB)</t>
  </si>
  <si>
    <t>D. BUKTI LAPORAN PAJAK TAHUN TERAKHIR</t>
  </si>
  <si>
    <t>ALAMAT SATUAN PEDIDIKAN</t>
  </si>
  <si>
    <t>NAMA CALON PENYEDIA</t>
  </si>
  <si>
    <t>ALAMAT CALON PENYEDIA</t>
  </si>
  <si>
    <t>TANGGAL TERIMA BARANG/JASA</t>
  </si>
  <si>
    <t>HASIL NEGOSIASI</t>
  </si>
  <si>
    <t>NAMA PRODUK</t>
  </si>
  <si>
    <t>JUMLAH (QTY)</t>
  </si>
  <si>
    <t>JUMLAH HARGA NEGOSIASI</t>
  </si>
  <si>
    <t>JUMLAH TOTAL</t>
  </si>
  <si>
    <t>Calon Penyedia</t>
  </si>
  <si>
    <t>SURAT PESANAN (SP)</t>
  </si>
  <si>
    <t>Sub Pekerjaan :</t>
  </si>
  <si>
    <t>Yang bertanda tangan di bawah ini :</t>
  </si>
  <si>
    <t>1.</t>
  </si>
  <si>
    <t>Nama</t>
  </si>
  <si>
    <t>Jabatan</t>
  </si>
  <si>
    <t>Alamat</t>
  </si>
  <si>
    <r>
      <t xml:space="preserve">Yang selanjutnya disebut </t>
    </r>
    <r>
      <rPr>
        <b/>
        <sz val="12"/>
        <rFont val="Arial"/>
        <family val="2"/>
      </rPr>
      <t>PIHAK KE 1</t>
    </r>
  </si>
  <si>
    <t>2.</t>
  </si>
  <si>
    <t>NPWP</t>
  </si>
  <si>
    <r>
      <t xml:space="preserve">Yang selanjutnya disebut </t>
    </r>
    <r>
      <rPr>
        <b/>
        <sz val="12"/>
        <rFont val="Arial"/>
        <family val="2"/>
      </rPr>
      <t>PIHAK KE 2</t>
    </r>
  </si>
  <si>
    <t>HARGA SATUAN</t>
  </si>
  <si>
    <t>JML HARGA</t>
  </si>
  <si>
    <t>PPN 11%</t>
  </si>
  <si>
    <t>JUMLAH SETELAH PAJAK</t>
  </si>
  <si>
    <t>Pesanan tersebut harus diterima paling lambat :</t>
  </si>
  <si>
    <t>Hari</t>
  </si>
  <si>
    <t>Tanggal</t>
  </si>
  <si>
    <t>Demikian Surat Pesanan ini dibuat untuk dapat dilaksanakan.</t>
  </si>
  <si>
    <t>SURAT HASIL PEMERIKSAAN</t>
  </si>
  <si>
    <t>Nomor Surat Pemersanan</t>
  </si>
  <si>
    <t>Nama Pekerjaan</t>
  </si>
  <si>
    <t>Tahun</t>
  </si>
  <si>
    <t>Yang bertandatangan di bawan ini</t>
  </si>
  <si>
    <t>Nama Satuan Pendidikan</t>
  </si>
  <si>
    <t>Alamat Satuan Pendidikan</t>
  </si>
  <si>
    <t>Telah melakukan pemeriksaan terhadap hasil pekerjaan sesuai surat pemesanan dimaksud dengan rincian berikut :</t>
  </si>
  <si>
    <t>No</t>
  </si>
  <si>
    <t>Nama Barang/Jasa</t>
  </si>
  <si>
    <t>Jumlah</t>
  </si>
  <si>
    <t>Jumlah Yang Diterima</t>
  </si>
  <si>
    <t>Kondisi</t>
  </si>
  <si>
    <t>Kurang</t>
  </si>
  <si>
    <t>Baik</t>
  </si>
  <si>
    <t>Rusak</t>
  </si>
  <si>
    <t>Demikian Surat Pemeriksaan Hasil Pekerjaan ini dibuat dengan sebenarnya untuk dipergunakan sebagaimana seharusnya.</t>
  </si>
  <si>
    <t>PIHAK KEDUA</t>
  </si>
  <si>
    <t>PIHAK PERTAMA</t>
  </si>
  <si>
    <t xml:space="preserve">Nama  </t>
  </si>
  <si>
    <t>Nama Penyedia</t>
  </si>
  <si>
    <t>Alamat Penyedia</t>
  </si>
  <si>
    <t>Nomor Telepon</t>
  </si>
  <si>
    <t>Sebagai pihak yang menyerahkan, selanjutnya disebut PIHAK PERTAMA</t>
  </si>
  <si>
    <t>Sebagai pihak yang menerima, selanjutnya disebut PIHAK KEDUA</t>
  </si>
  <si>
    <t>NAMA BARANG/JASA</t>
  </si>
  <si>
    <t>JUMLAH DISERAHKAN</t>
  </si>
  <si>
    <t>JUMLAH DITERIMA</t>
  </si>
  <si>
    <t>KONDISI</t>
  </si>
  <si>
    <t>BAIK</t>
  </si>
  <si>
    <t>RUSAK</t>
  </si>
  <si>
    <t>Demikian Berita Acara Serah Terima ini dibuat dengan sebenarnya untuk dipergunakan sebagaimana seharusnya</t>
  </si>
  <si>
    <t>Kepada Yth.</t>
  </si>
  <si>
    <t>No. Faktur</t>
  </si>
  <si>
    <t>Nama Produk</t>
  </si>
  <si>
    <t>Satuan</t>
  </si>
  <si>
    <t>Jumlah (QTY)</t>
  </si>
  <si>
    <t>Harga Satuan</t>
  </si>
  <si>
    <t>Total Harga</t>
  </si>
  <si>
    <t>Jumlah Harga Jual</t>
  </si>
  <si>
    <t>Jumlah Harga Setelah Pajak</t>
  </si>
  <si>
    <t>Mengetahui,</t>
  </si>
  <si>
    <t>Hormat Kami,</t>
  </si>
  <si>
    <t>KUITANSI PEMBAYARAN</t>
  </si>
  <si>
    <t>Tahun Anggaran</t>
  </si>
  <si>
    <t>Nomor</t>
  </si>
  <si>
    <t>Sumber Dana</t>
  </si>
  <si>
    <t>Sudah diterima dari</t>
  </si>
  <si>
    <t>Jumlah uang</t>
  </si>
  <si>
    <t>Terbilang</t>
  </si>
  <si>
    <t>Untuk Pembayaran</t>
  </si>
  <si>
    <t>Diserahkan Oleh,</t>
  </si>
  <si>
    <t>Diterima Oleh,</t>
  </si>
  <si>
    <t>Barang/Pekerjaan tersebut telah diterima/diselesaikan dengan lengkap dan baik</t>
  </si>
  <si>
    <t>KUITANSI :</t>
  </si>
  <si>
    <t>TENTANG :</t>
  </si>
  <si>
    <t>PAKET PEKERJAAN</t>
  </si>
  <si>
    <t>HARGA</t>
  </si>
  <si>
    <t>TERBILANG</t>
  </si>
  <si>
    <t>REKANAN PELAKSANA</t>
  </si>
  <si>
    <t>CIANJUR</t>
  </si>
  <si>
    <t>IDENTITAS PENYEDIA</t>
  </si>
  <si>
    <t>Saya yang bertanda tangan di bawah ini:</t>
  </si>
  <si>
    <t>No. Identitas</t>
  </si>
  <si>
    <t>Bertindak untuk dan atas nama</t>
  </si>
  <si>
    <t>Telepon/Fax</t>
  </si>
  <si>
    <t>Email</t>
  </si>
  <si>
    <t>Menyatakan dengan sesungguhnya bahwa:</t>
  </si>
  <si>
    <t>Saya bukan sebagai pegawai Pegawai Negeri Sipil, Anggota TNI/POLRI, Pegawai BUMN;</t>
  </si>
  <si>
    <t>3.</t>
  </si>
  <si>
    <t>Saya tidak sedang menjalani sanksi pidana;</t>
  </si>
  <si>
    <t>4.</t>
  </si>
  <si>
    <t>Saya tidak sedang dan tidak akan terlibat pertentangan kepentingan dengan para pihak yang terkait, langsung maupun tidak langsung dalam proses pengadaan ini;</t>
  </si>
  <si>
    <t>5.</t>
  </si>
  <si>
    <t>Badan usaha yang saya wakili tidak masuk dalam Daftar Hitam, tidak dalam pengawasan pengadilan, tidak pailit atau kegiatan usahanya tidak sedang dihentikan;</t>
  </si>
  <si>
    <t>6.</t>
  </si>
  <si>
    <t>Salah satu dan/atau semua pengurus badan usaha yang saya wakili tidak masuk dalam Daftar Hitam;</t>
  </si>
  <si>
    <t>7.</t>
  </si>
  <si>
    <t>Data-data badan usaha yang saya wakili adalah sebagai berikut:</t>
  </si>
  <si>
    <t>Data Administrasi</t>
  </si>
  <si>
    <t xml:space="preserve">Nama Badan Usaha </t>
  </si>
  <si>
    <t xml:space="preserve">Status </t>
  </si>
  <si>
    <t xml:space="preserve"> √</t>
  </si>
  <si>
    <t>PUSAT</t>
  </si>
  <si>
    <t>CABANG</t>
  </si>
  <si>
    <t>Alamat Kantor Pusat</t>
  </si>
  <si>
    <t>No. Telepon</t>
  </si>
  <si>
    <t>No. Fax</t>
  </si>
  <si>
    <t xml:space="preserve"> __________</t>
  </si>
  <si>
    <t>E-Mail</t>
  </si>
  <si>
    <t>Alamat Kantor Cabang</t>
  </si>
  <si>
    <t xml:space="preserve">Landasan Hukum Pendirian Perusahaan </t>
  </si>
  <si>
    <t>Akta Pendirian Perusahaan/Anggaran Dasar Koperasi</t>
  </si>
  <si>
    <t xml:space="preserve"> </t>
  </si>
  <si>
    <t xml:space="preserve">a. </t>
  </si>
  <si>
    <t xml:space="preserve">b. </t>
  </si>
  <si>
    <t xml:space="preserve">c. </t>
  </si>
  <si>
    <t>d.</t>
  </si>
  <si>
    <t>Nomor Pengesahan Kementerian Hukum dan HAM. (untuk yang berbentuk PT)</t>
  </si>
  <si>
    <t>Perubahan Terakhir Akta Pendirian Perusahaan /Anggaran Dasar Koperasi</t>
  </si>
  <si>
    <t>a.</t>
  </si>
  <si>
    <t xml:space="preserve"> Nomor </t>
  </si>
  <si>
    <t xml:space="preserve">C. </t>
  </si>
  <si>
    <t>Pengurus Badan Usaha</t>
  </si>
  <si>
    <t xml:space="preserve"> Nama</t>
  </si>
  <si>
    <t>Jabatan dalam Badan Usaha</t>
  </si>
  <si>
    <t xml:space="preserve">Izin Usaha  </t>
  </si>
  <si>
    <t xml:space="preserve">No. Izin Usaha </t>
  </si>
  <si>
    <t>Masa berlaku izin usaha</t>
  </si>
  <si>
    <t>Instansi pemberi izin usaha</t>
  </si>
  <si>
    <t>Data Keuangan</t>
  </si>
  <si>
    <t xml:space="preserve">Susunan Kepemilikan Saham (untuk PT)/Susunan Pesero (untuk CV/Firma) </t>
  </si>
  <si>
    <t xml:space="preserve"> No.</t>
  </si>
  <si>
    <t xml:space="preserve">No. Identitas </t>
  </si>
  <si>
    <t xml:space="preserve"> Persentase</t>
  </si>
  <si>
    <t>Pajak</t>
  </si>
  <si>
    <t>Nomor Pokok Wajib Pajak</t>
  </si>
  <si>
    <t>b.</t>
  </si>
  <si>
    <t xml:space="preserve">Bukti laporan Pajak Tahun terakhir </t>
  </si>
  <si>
    <t>Terlampir</t>
  </si>
  <si>
    <t>Demikian Formulir Isian Kualifikasi ini saya buat dengan sebenarnya dan penuh rasa tanggung jawab. Jika dikemudian hari ditemui bahwa data/dokumen yang saya sampaikan tidak benar dan ada pemalsuan, maka saya dan badan usaha yang saya wakili bersedia dikenakan sanksi berupa sanksi administratif, sanksi pencantuman dalam Daftar Hitam, gugatan secara perdata, dan/atau pelaporan secara pidana kepada pihak berwenang sesuai dengan ketentuan peraturan perundang-undangan.</t>
  </si>
  <si>
    <t>DINAS PENDIDIKAN</t>
  </si>
  <si>
    <t>NILAI HARGA NEGOSIASI KETIK</t>
  </si>
  <si>
    <t>TERBILANG KETIK</t>
  </si>
  <si>
    <t xml:space="preserve"> (0263) 363023/363021, 43267</t>
  </si>
  <si>
    <t>CABANG DINAS PENDIDIKAN WILAYAH VI</t>
  </si>
  <si>
    <t xml:space="preserve">SMA NEGERI 1 PAGELARAN </t>
  </si>
  <si>
    <t>Jalan Raya Pagelaran Kp. Cibeureum Desa Sindangkerta Rt. 06/Rw. 07  Pagelaran – Cianjur 43266</t>
  </si>
  <si>
    <t>Tlp.(0263) 236150  e-mail : smanpagelaran@gmail.com</t>
  </si>
  <si>
    <t>0263-236150</t>
  </si>
  <si>
    <t>Hamdani</t>
  </si>
  <si>
    <t>-</t>
  </si>
  <si>
    <t>2 HARI</t>
  </si>
  <si>
    <t>Berita Acara Serah Terima ini berfungsi sebagai bukti serah terima hasil pekerjaan kepada PIHAK KEDUA, untuk selanjutnya dicatat pada buku penerimaan barang satuan pendidikan.</t>
  </si>
  <si>
    <t>BOSP</t>
  </si>
  <si>
    <t>Belanja Alat Tulis Kantor</t>
  </si>
  <si>
    <t>Kertas Karton</t>
  </si>
  <si>
    <t>Buah</t>
  </si>
  <si>
    <t>kertas HVS A4</t>
  </si>
  <si>
    <t>Rim</t>
  </si>
  <si>
    <t>kertas HVS F4</t>
  </si>
  <si>
    <t>Kertas Manila</t>
  </si>
  <si>
    <t>Pak</t>
  </si>
  <si>
    <t>Kertas lipat</t>
  </si>
  <si>
    <t>pak</t>
  </si>
  <si>
    <t>Kertas cover ukuran kwarto/A4</t>
  </si>
  <si>
    <t>Kertas cover ukuran folio warna</t>
  </si>
  <si>
    <t>Cover dari Plastik</t>
  </si>
  <si>
    <t>Amplop Besar</t>
  </si>
  <si>
    <t>Dus</t>
  </si>
  <si>
    <t>Amplop Kecil</t>
  </si>
  <si>
    <t>Amplop Coklat</t>
  </si>
  <si>
    <t>Kertas buffalo</t>
  </si>
  <si>
    <t>Tinta printer Epson</t>
  </si>
  <si>
    <t xml:space="preserve">Buah </t>
  </si>
  <si>
    <t>Tinta Printer Brother</t>
  </si>
  <si>
    <t>Mouse</t>
  </si>
  <si>
    <t>Bantalan Mouse</t>
  </si>
  <si>
    <t>Lakban Bening 5 cm</t>
  </si>
  <si>
    <t>Rp. 15.000.000</t>
  </si>
  <si>
    <t>900/......../SMAN.01/CADISDIKWIL.VI/......./2026</t>
  </si>
  <si>
    <t>20 Agustus 2026</t>
  </si>
  <si>
    <t>02 Februari 2026</t>
  </si>
  <si>
    <t>03 Februari 2026</t>
  </si>
  <si>
    <t>05 Februari 2026</t>
  </si>
  <si>
    <t>Seumur Hidup</t>
  </si>
  <si>
    <t>Mega Afriyanti, S.Pd</t>
  </si>
  <si>
    <t>3203114504870009</t>
  </si>
  <si>
    <t>Kp. Cangklek No. 61 RT.004 / RW.001 Sukamanah, Cugenang, Cianjur Jawa barat</t>
  </si>
  <si>
    <t>085691768167</t>
  </si>
  <si>
    <t>Dedih Jubaedih</t>
  </si>
  <si>
    <t>3203111202790004</t>
  </si>
  <si>
    <t xml:space="preserve">CV. AFWAN </t>
  </si>
  <si>
    <t>82.809.471.4-406.000</t>
  </si>
  <si>
    <t>cv.afwan@gmail.com</t>
  </si>
  <si>
    <t>503/4547/PK/BJ/DPMPTSP/2017</t>
  </si>
  <si>
    <t>Badan Pelayanan Perijinan Terpadu dan Penanaman Modal</t>
  </si>
  <si>
    <t>030101/CV.AFWAN/02/2026</t>
  </si>
  <si>
    <t>050102/CV.AFWAN/02/2026</t>
  </si>
  <si>
    <t>Fitri Yurnita, S.Pd</t>
  </si>
  <si>
    <t>198008142009032002</t>
  </si>
  <si>
    <t>Kepala Sekolah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</si>
</sst>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43" formatCode="_-* #,##0.00_-;\-* #,##0.00_-;_-* &quot;-&quot;??_-;_-@_-"/>
    <numFmt numFmtId="164" formatCode="_(&quot;Rp&quot;* #,##0_);_(&quot;Rp&quot;* \(#,##0\);_(&quot;Rp&quot;* &quot;-&quot;_);_(@_)"/>
    <numFmt numFmtId="165" formatCode="_(* #,##0_);_(* \(#,##0\);_(* &quot;-&quot;_);_(@_)"/>
    <numFmt numFmtId="166" formatCode="_(&quot;Rp&quot;* #,##0.00_);_(&quot;Rp&quot;* \(#,##0.00\);_(&quot;Rp&quot;* &quot;-&quot;??_);_(@_)"/>
    <numFmt numFmtId="167" formatCode="_(* #,##0.00_);_(* \(#,##0.00\);_(* &quot;-&quot;??_);_(@_)"/>
    <numFmt numFmtId="168" formatCode="_-&quot;Rp&quot;* #,##0_-;\-&quot;Rp&quot;* #,##0_-;_-&quot;Rp&quot;* &quot;-&quot;??_-;_-@_-"/>
    <numFmt numFmtId="169" formatCode="[$-F800]dddd\,\ mmmm\ dd\,\ yyyy"/>
    <numFmt numFmtId="170" formatCode="&quot;Rp. &quot;#,##0_);[Red]\(&quot;Rp. &quot;#,##0\)"/>
    <numFmt numFmtId="171" formatCode="&quot;Rp&quot;#,##0"/>
    <numFmt numFmtId="172" formatCode="_-* #,##0_-;\-* #,##0_-;_-* &quot;-&quot;??_-;_-@_-"/>
    <numFmt numFmtId="173" formatCode="_(&quot;Rp&quot;* #,##0_);_(&quot;Rp&quot;* \(#,##0\);_(&quot;Rp&quot;* &quot;-&quot;??_);_(@_)"/>
    <numFmt numFmtId="174" formatCode="[$-21]dddd\ dd\ mmmm\ yyyy"/>
  </numFmts>
  <fonts count="41">
    <font>
      <sz val="11"/>
      <color theme="1"/>
      <name val="Calibri"/>
      <family val="2"/>
      <charset val="1"/>
      <scheme val="minor"/>
    </font>
    <font>
      <sz val="11"/>
      <color theme="1"/>
      <name val="Calibri"/>
      <family val="2"/>
      <charset val="1"/>
      <scheme val="minor"/>
    </font>
    <font>
      <sz val="10"/>
      <name val="Arial"/>
      <family val="2"/>
    </font>
    <font>
      <b/>
      <sz val="10"/>
      <name val="Arial"/>
      <family val="2"/>
    </font>
    <font>
      <b/>
      <sz val="11"/>
      <color rgb="FFFF0000"/>
      <name val="Arial"/>
      <family val="2"/>
    </font>
    <font>
      <sz val="10"/>
      <color rgb="FFFF0000"/>
      <name val="Arial"/>
      <family val="2"/>
    </font>
    <font>
      <u/>
      <sz val="11"/>
      <color theme="10"/>
      <name val="Calibri"/>
      <family val="2"/>
      <charset val="1"/>
      <scheme val="minor"/>
    </font>
    <font>
      <b/>
      <sz val="12"/>
      <name val="Arial"/>
      <family val="2"/>
    </font>
    <font>
      <sz val="12"/>
      <name val="Arial"/>
      <family val="2"/>
    </font>
    <font>
      <b/>
      <sz val="14"/>
      <name val="Arial"/>
      <family val="2"/>
    </font>
    <font>
      <sz val="12"/>
      <name val="Arial "/>
      <charset val="1"/>
    </font>
    <font>
      <b/>
      <sz val="14"/>
      <color rgb="FFFF0000"/>
      <name val="Arial"/>
      <family val="2"/>
    </font>
    <font>
      <u/>
      <sz val="12"/>
      <name val="Arial"/>
      <family val="2"/>
    </font>
    <font>
      <b/>
      <sz val="16"/>
      <color indexed="81"/>
      <name val="Tahoma"/>
      <family val="2"/>
    </font>
    <font>
      <sz val="12"/>
      <name val="Times New Roman"/>
      <family val="1"/>
    </font>
    <font>
      <b/>
      <sz val="18"/>
      <name val="Times New Roman"/>
      <family val="1"/>
    </font>
    <font>
      <i/>
      <sz val="12"/>
      <name val="Times New Roman"/>
      <family val="1"/>
    </font>
    <font>
      <sz val="11"/>
      <name val="Arial"/>
      <family val="2"/>
    </font>
    <font>
      <sz val="12"/>
      <name val="Bookman Old Style"/>
      <family val="1"/>
    </font>
    <font>
      <b/>
      <sz val="12"/>
      <name val="Bookman Old Style"/>
      <family val="1"/>
    </font>
    <font>
      <b/>
      <sz val="16"/>
      <name val="Arial"/>
      <family val="2"/>
    </font>
    <font>
      <sz val="11"/>
      <name val="Times New Roman"/>
      <family val="1"/>
    </font>
    <font>
      <sz val="14"/>
      <name val="Times New Roman"/>
      <family val="1"/>
    </font>
    <font>
      <b/>
      <sz val="12"/>
      <color theme="1"/>
      <name val="Arial"/>
      <family val="2"/>
    </font>
    <font>
      <sz val="12"/>
      <color theme="1"/>
      <name val="Arial"/>
      <family val="2"/>
    </font>
    <font>
      <b/>
      <i/>
      <sz val="12"/>
      <color theme="1"/>
      <name val="Arial"/>
      <family val="2"/>
    </font>
    <font>
      <b/>
      <u/>
      <sz val="12"/>
      <name val="Arial"/>
      <family val="2"/>
    </font>
    <font>
      <b/>
      <u/>
      <sz val="12"/>
      <color theme="1"/>
      <name val="Arial"/>
      <family val="2"/>
    </font>
    <font>
      <sz val="11"/>
      <color theme="1"/>
      <name val="Tahoma"/>
      <family val="2"/>
    </font>
    <font>
      <sz val="12"/>
      <color theme="1" tint="-0.499984740745262"/>
      <name val="Arial"/>
      <family val="2"/>
    </font>
    <font>
      <b/>
      <sz val="11"/>
      <color theme="1"/>
      <name val="Tahoma"/>
      <family val="2"/>
    </font>
    <font>
      <b/>
      <sz val="18"/>
      <name val="Arial"/>
      <family val="2"/>
    </font>
    <font>
      <b/>
      <u/>
      <sz val="14"/>
      <color theme="1"/>
      <name val="Arial"/>
      <family val="2"/>
    </font>
    <font>
      <sz val="11"/>
      <color theme="1"/>
      <name val="Arial"/>
      <family val="2"/>
    </font>
    <font>
      <b/>
      <sz val="11"/>
      <color theme="1"/>
      <name val="Arial"/>
      <family val="2"/>
    </font>
    <font>
      <b/>
      <u/>
      <sz val="11"/>
      <color theme="1"/>
      <name val="Arial"/>
      <family val="2"/>
    </font>
    <font>
      <sz val="8"/>
      <name val="Calibri"/>
      <family val="2"/>
      <charset val="1"/>
      <scheme val="minor"/>
    </font>
    <font>
      <b/>
      <sz val="16"/>
      <name val="Times New Roman"/>
      <family val="1"/>
    </font>
    <font>
      <b/>
      <sz val="14"/>
      <name val="Times New Roman"/>
      <family val="1"/>
    </font>
    <font>
      <sz val="10"/>
      <color theme="1"/>
      <name val="Arial"/>
      <family val="2"/>
    </font>
    <font>
      <b/>
      <sz val="12"/>
      <name val="Times New Roman"/>
      <family val="1"/>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66FF99"/>
        <bgColor indexed="64"/>
      </patternFill>
    </fill>
    <fill>
      <patternFill patternType="solid">
        <fgColor rgb="FF00B050"/>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bottom style="double">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top style="thin">
        <color theme="4"/>
      </top>
      <bottom/>
      <diagonal/>
    </border>
  </borders>
  <cellStyleXfs count="16">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2" fillId="0" borderId="0"/>
    <xf numFmtId="0" fontId="2" fillId="0" borderId="0"/>
    <xf numFmtId="167" fontId="2" fillId="0" borderId="0" applyFont="0" applyFill="0" applyBorder="0" applyAlignment="0" applyProtection="0"/>
    <xf numFmtId="0" fontId="1" fillId="0" borderId="0"/>
    <xf numFmtId="0" fontId="1" fillId="0" borderId="0"/>
    <xf numFmtId="167" fontId="2" fillId="0" borderId="0" applyFont="0" applyFill="0" applyBorder="0" applyAlignment="0" applyProtection="0"/>
    <xf numFmtId="0" fontId="2" fillId="0" borderId="0"/>
    <xf numFmtId="0" fontId="1" fillId="0" borderId="0"/>
    <xf numFmtId="0" fontId="2" fillId="0" borderId="0"/>
    <xf numFmtId="0" fontId="1" fillId="0" borderId="0"/>
    <xf numFmtId="165" fontId="1" fillId="0" borderId="0" applyFont="0" applyFill="0" applyBorder="0" applyAlignment="0" applyProtection="0"/>
  </cellStyleXfs>
  <cellXfs count="424">
    <xf numFmtId="0" fontId="0" fillId="0" borderId="0" xfId="0"/>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xf numFmtId="0" fontId="0" fillId="0" borderId="1" xfId="0" applyBorder="1"/>
    <xf numFmtId="0" fontId="2" fillId="0" borderId="1" xfId="0" applyFont="1" applyBorder="1"/>
    <xf numFmtId="168" fontId="0" fillId="0" borderId="1" xfId="0" applyNumberFormat="1" applyBorder="1"/>
    <xf numFmtId="168" fontId="0" fillId="2" borderId="1" xfId="0" applyNumberFormat="1" applyFill="1" applyBorder="1"/>
    <xf numFmtId="0" fontId="0" fillId="0" borderId="1" xfId="0" applyBorder="1" applyAlignment="1">
      <alignment horizontal="center"/>
    </xf>
    <xf numFmtId="168" fontId="3" fillId="0" borderId="1" xfId="0" applyNumberFormat="1" applyFont="1" applyBorder="1"/>
    <xf numFmtId="0" fontId="3" fillId="0" borderId="1" xfId="0" applyFont="1" applyBorder="1" applyAlignment="1">
      <alignment horizontal="center"/>
    </xf>
    <xf numFmtId="0" fontId="2" fillId="0" borderId="0" xfId="0" applyFont="1" applyAlignment="1">
      <alignment horizontal="right"/>
    </xf>
    <xf numFmtId="1" fontId="4" fillId="0" borderId="2" xfId="0" applyNumberFormat="1" applyFont="1" applyBorder="1" applyAlignment="1">
      <alignment horizontal="center" vertical="center"/>
    </xf>
    <xf numFmtId="168" fontId="0" fillId="0" borderId="0" xfId="0" applyNumberFormat="1"/>
    <xf numFmtId="0" fontId="5" fillId="3" borderId="0" xfId="0" applyFont="1" applyFill="1"/>
    <xf numFmtId="0" fontId="2" fillId="0" borderId="0" xfId="0" applyFont="1"/>
    <xf numFmtId="0" fontId="0" fillId="2" borderId="0" xfId="0" applyFill="1"/>
    <xf numFmtId="0" fontId="7" fillId="0" borderId="0" xfId="5" applyFont="1"/>
    <xf numFmtId="0" fontId="7" fillId="0" borderId="0" xfId="5" applyFont="1" applyAlignment="1">
      <alignment horizontal="left" vertical="center"/>
    </xf>
    <xf numFmtId="0" fontId="8" fillId="0" borderId="0" xfId="5" applyFont="1"/>
    <xf numFmtId="169" fontId="8" fillId="0" borderId="0" xfId="5" applyNumberFormat="1" applyFont="1"/>
    <xf numFmtId="0" fontId="7" fillId="0" borderId="3" xfId="5" applyFont="1" applyBorder="1" applyAlignment="1">
      <alignment horizontal="center" vertical="center"/>
    </xf>
    <xf numFmtId="0" fontId="7" fillId="0" borderId="4" xfId="5" applyFont="1" applyBorder="1" applyAlignment="1">
      <alignment horizontal="center" vertical="center"/>
    </xf>
    <xf numFmtId="0" fontId="8" fillId="0" borderId="1" xfId="5" applyFont="1" applyBorder="1" applyAlignment="1">
      <alignment horizontal="center"/>
    </xf>
    <xf numFmtId="0" fontId="8" fillId="0" borderId="1" xfId="5" applyFont="1" applyBorder="1" applyAlignment="1">
      <alignment horizontal="left" vertical="center"/>
    </xf>
    <xf numFmtId="0" fontId="8" fillId="0" borderId="1" xfId="0" applyFont="1" applyBorder="1"/>
    <xf numFmtId="15" fontId="8" fillId="0" borderId="4" xfId="5" quotePrefix="1" applyNumberFormat="1" applyFont="1" applyBorder="1" applyAlignment="1">
      <alignment horizontal="left" vertical="center"/>
    </xf>
    <xf numFmtId="0" fontId="8" fillId="0" borderId="5" xfId="5" applyFont="1" applyBorder="1" applyAlignment="1">
      <alignment horizontal="left" vertical="center"/>
    </xf>
    <xf numFmtId="0" fontId="8" fillId="0" borderId="5" xfId="5" applyFont="1" applyBorder="1" applyAlignment="1">
      <alignment horizontal="center" vertical="center"/>
    </xf>
    <xf numFmtId="0" fontId="8" fillId="0" borderId="1" xfId="5" applyFont="1" applyBorder="1" applyAlignment="1">
      <alignment horizontal="center" vertical="center"/>
    </xf>
    <xf numFmtId="0" fontId="8" fillId="0" borderId="6" xfId="5" quotePrefix="1" applyFont="1" applyBorder="1" applyAlignment="1">
      <alignment horizontal="left" vertical="center"/>
    </xf>
    <xf numFmtId="0" fontId="8" fillId="0" borderId="6" xfId="5" applyFont="1" applyBorder="1" applyAlignment="1">
      <alignment horizontal="center" vertical="center"/>
    </xf>
    <xf numFmtId="0" fontId="8" fillId="0" borderId="0" xfId="5" applyFont="1" applyAlignment="1">
      <alignment horizontal="center" vertical="center"/>
    </xf>
    <xf numFmtId="0" fontId="8" fillId="0" borderId="0" xfId="5" applyFont="1" applyAlignment="1">
      <alignment horizontal="left" vertical="center"/>
    </xf>
    <xf numFmtId="0" fontId="8" fillId="0" borderId="0" xfId="5" quotePrefix="1" applyFont="1" applyAlignment="1">
      <alignment horizontal="left" vertical="center"/>
    </xf>
    <xf numFmtId="169" fontId="8" fillId="0" borderId="0" xfId="5" applyNumberFormat="1" applyFont="1" applyAlignment="1">
      <alignment horizontal="left" vertical="center"/>
    </xf>
    <xf numFmtId="169" fontId="8" fillId="0" borderId="0" xfId="5" quotePrefix="1" applyNumberFormat="1" applyFont="1" applyAlignment="1">
      <alignment horizontal="left" vertical="center"/>
    </xf>
    <xf numFmtId="0" fontId="7" fillId="0" borderId="0" xfId="5" applyFont="1" applyAlignment="1">
      <alignment horizontal="center" vertical="center" shrinkToFit="1"/>
    </xf>
    <xf numFmtId="0" fontId="7" fillId="2" borderId="1" xfId="5" applyFont="1" applyFill="1" applyBorder="1" applyAlignment="1">
      <alignment horizontal="center"/>
    </xf>
    <xf numFmtId="0" fontId="7" fillId="2" borderId="1" xfId="5" applyFont="1" applyFill="1" applyBorder="1" applyAlignment="1">
      <alignment horizontal="center" vertical="center"/>
    </xf>
    <xf numFmtId="0" fontId="7" fillId="2" borderId="1" xfId="5" applyFont="1" applyFill="1" applyBorder="1" applyAlignment="1">
      <alignment vertical="center"/>
    </xf>
    <xf numFmtId="169" fontId="7" fillId="0" borderId="0" xfId="5" applyNumberFormat="1" applyFont="1" applyAlignment="1">
      <alignment vertical="center"/>
    </xf>
    <xf numFmtId="0" fontId="7" fillId="0" borderId="0" xfId="5" applyFont="1" applyAlignment="1">
      <alignment vertical="center"/>
    </xf>
    <xf numFmtId="0" fontId="8" fillId="0" borderId="0" xfId="5" applyFont="1" applyAlignment="1">
      <alignment horizontal="left" vertical="center" shrinkToFit="1"/>
    </xf>
    <xf numFmtId="0" fontId="8" fillId="2" borderId="1" xfId="5" applyFont="1" applyFill="1" applyBorder="1" applyAlignment="1">
      <alignment horizontal="center"/>
    </xf>
    <xf numFmtId="0" fontId="8" fillId="2" borderId="1" xfId="5" applyFont="1" applyFill="1" applyBorder="1" applyAlignment="1">
      <alignment horizontal="left" vertical="center"/>
    </xf>
    <xf numFmtId="0" fontId="10" fillId="2" borderId="1" xfId="0" applyFont="1" applyFill="1" applyBorder="1"/>
    <xf numFmtId="0" fontId="8" fillId="2" borderId="1" xfId="0" applyFont="1" applyFill="1" applyBorder="1" applyAlignment="1">
      <alignment horizontal="left" vertical="center"/>
    </xf>
    <xf numFmtId="0" fontId="8" fillId="2" borderId="1" xfId="0" applyFont="1" applyFill="1" applyBorder="1" applyAlignment="1">
      <alignment horizontal="left" vertical="top"/>
    </xf>
    <xf numFmtId="0" fontId="8" fillId="2" borderId="5" xfId="0" applyFont="1" applyFill="1" applyBorder="1" applyAlignment="1">
      <alignment horizontal="left" vertical="center"/>
    </xf>
    <xf numFmtId="0" fontId="8" fillId="2" borderId="0" xfId="0" applyFont="1" applyFill="1" applyAlignment="1">
      <alignment horizontal="left" vertical="center"/>
    </xf>
    <xf numFmtId="169" fontId="8" fillId="0" borderId="0" xfId="0" applyNumberFormat="1" applyFont="1"/>
    <xf numFmtId="0" fontId="8" fillId="0" borderId="0" xfId="0" applyFont="1"/>
    <xf numFmtId="0" fontId="8" fillId="2" borderId="1" xfId="0" applyFont="1" applyFill="1" applyBorder="1" applyAlignment="1">
      <alignment vertical="center"/>
    </xf>
    <xf numFmtId="0" fontId="8" fillId="2" borderId="0" xfId="5" applyFont="1" applyFill="1" applyAlignment="1">
      <alignment horizontal="center"/>
    </xf>
    <xf numFmtId="0" fontId="8" fillId="2" borderId="0" xfId="5" applyFont="1" applyFill="1" applyAlignment="1">
      <alignment horizontal="left" vertical="center"/>
    </xf>
    <xf numFmtId="0" fontId="8" fillId="0" borderId="0" xfId="5" applyFont="1" applyAlignment="1">
      <alignment horizontal="center" vertical="center" shrinkToFit="1"/>
    </xf>
    <xf numFmtId="169" fontId="8" fillId="0" borderId="0" xfId="5" applyNumberFormat="1" applyFont="1" applyAlignment="1">
      <alignment horizontal="center" vertical="center"/>
    </xf>
    <xf numFmtId="0" fontId="7" fillId="4" borderId="1" xfId="5" applyFont="1" applyFill="1" applyBorder="1" applyAlignment="1">
      <alignment horizontal="center"/>
    </xf>
    <xf numFmtId="0" fontId="7" fillId="4" borderId="1" xfId="5" applyFont="1" applyFill="1" applyBorder="1" applyAlignment="1">
      <alignment horizontal="center" vertical="center"/>
    </xf>
    <xf numFmtId="0" fontId="7" fillId="4" borderId="1" xfId="5" applyFont="1" applyFill="1" applyBorder="1" applyAlignment="1">
      <alignment horizontal="left" vertical="center"/>
    </xf>
    <xf numFmtId="169" fontId="7" fillId="0" borderId="0" xfId="5" applyNumberFormat="1" applyFont="1" applyAlignment="1">
      <alignment horizontal="left" vertical="center"/>
    </xf>
    <xf numFmtId="0" fontId="7" fillId="0" borderId="0" xfId="5" applyFont="1" applyAlignment="1">
      <alignment horizontal="center" vertical="center"/>
    </xf>
    <xf numFmtId="0" fontId="8" fillId="4" borderId="1" xfId="5" applyFont="1" applyFill="1" applyBorder="1" applyAlignment="1">
      <alignment horizontal="left"/>
    </xf>
    <xf numFmtId="0" fontId="8" fillId="4" borderId="1" xfId="5" applyFont="1" applyFill="1" applyBorder="1" applyAlignment="1">
      <alignment horizontal="left" vertical="center"/>
    </xf>
    <xf numFmtId="1" fontId="8" fillId="4" borderId="1" xfId="5" quotePrefix="1" applyNumberFormat="1" applyFont="1" applyFill="1" applyBorder="1" applyAlignment="1">
      <alignment horizontal="left" vertical="center"/>
    </xf>
    <xf numFmtId="0" fontId="8" fillId="0" borderId="0" xfId="5" applyFont="1" applyAlignment="1">
      <alignment horizontal="center"/>
    </xf>
    <xf numFmtId="1" fontId="8" fillId="0" borderId="0" xfId="5" applyNumberFormat="1" applyFont="1" applyAlignment="1">
      <alignment horizontal="left" vertical="center"/>
    </xf>
    <xf numFmtId="0" fontId="7" fillId="5" borderId="1" xfId="5" applyFont="1" applyFill="1" applyBorder="1" applyAlignment="1">
      <alignment horizontal="center"/>
    </xf>
    <xf numFmtId="0" fontId="7" fillId="5" borderId="1" xfId="5" applyFont="1" applyFill="1" applyBorder="1" applyAlignment="1">
      <alignment horizontal="center" vertical="center"/>
    </xf>
    <xf numFmtId="169" fontId="7" fillId="0" borderId="7" xfId="5" applyNumberFormat="1" applyFont="1" applyBorder="1" applyAlignment="1">
      <alignment horizontal="center" vertical="center"/>
    </xf>
    <xf numFmtId="0" fontId="8" fillId="5" borderId="1" xfId="5" applyFont="1" applyFill="1" applyBorder="1" applyAlignment="1">
      <alignment horizontal="center"/>
    </xf>
    <xf numFmtId="0" fontId="8" fillId="5" borderId="6" xfId="5" applyFont="1" applyFill="1" applyBorder="1" applyAlignment="1">
      <alignment horizontal="left" vertical="center"/>
    </xf>
    <xf numFmtId="0" fontId="8" fillId="5" borderId="1" xfId="5" applyFont="1" applyFill="1" applyBorder="1" applyAlignment="1">
      <alignment horizontal="left" vertical="center"/>
    </xf>
    <xf numFmtId="169" fontId="8" fillId="0" borderId="7" xfId="5" applyNumberFormat="1" applyFont="1" applyBorder="1" applyAlignment="1">
      <alignment horizontal="left" vertical="center"/>
    </xf>
    <xf numFmtId="0" fontId="7" fillId="6" borderId="1" xfId="5" applyFont="1" applyFill="1" applyBorder="1" applyAlignment="1">
      <alignment horizontal="center"/>
    </xf>
    <xf numFmtId="0" fontId="7" fillId="6" borderId="1" xfId="5" applyFont="1" applyFill="1" applyBorder="1" applyAlignment="1">
      <alignment horizontal="center" vertical="center"/>
    </xf>
    <xf numFmtId="0" fontId="7" fillId="6" borderId="1" xfId="5" applyFont="1" applyFill="1" applyBorder="1" applyAlignment="1">
      <alignment vertical="center"/>
    </xf>
    <xf numFmtId="0" fontId="8" fillId="7" borderId="1" xfId="5" applyFont="1" applyFill="1" applyBorder="1" applyAlignment="1">
      <alignment horizontal="center"/>
    </xf>
    <xf numFmtId="0" fontId="8" fillId="7" borderId="1" xfId="5" applyFont="1" applyFill="1" applyBorder="1" applyAlignment="1">
      <alignment horizontal="left" vertical="center"/>
    </xf>
    <xf numFmtId="0" fontId="8" fillId="7" borderId="1" xfId="5" applyFont="1" applyFill="1" applyBorder="1" applyAlignment="1">
      <alignment vertical="center"/>
    </xf>
    <xf numFmtId="170" fontId="8" fillId="7" borderId="1" xfId="5" applyNumberFormat="1" applyFont="1" applyFill="1" applyBorder="1" applyAlignment="1">
      <alignment horizontal="left" vertical="center"/>
    </xf>
    <xf numFmtId="171" fontId="8" fillId="7" borderId="1" xfId="1" applyNumberFormat="1" applyFont="1" applyFill="1" applyBorder="1" applyAlignment="1">
      <alignment horizontal="left" vertical="center"/>
    </xf>
    <xf numFmtId="169" fontId="8" fillId="7" borderId="1" xfId="5" quotePrefix="1" applyNumberFormat="1" applyFont="1" applyFill="1" applyBorder="1" applyAlignment="1">
      <alignment horizontal="left" vertical="center"/>
    </xf>
    <xf numFmtId="0" fontId="11" fillId="7" borderId="1" xfId="5" applyFont="1" applyFill="1" applyBorder="1" applyAlignment="1">
      <alignment horizontal="left" vertical="center"/>
    </xf>
    <xf numFmtId="0" fontId="7" fillId="5" borderId="1" xfId="5" applyFont="1" applyFill="1" applyBorder="1" applyAlignment="1">
      <alignment horizontal="left" vertical="center"/>
    </xf>
    <xf numFmtId="1" fontId="8" fillId="0" borderId="1" xfId="0" applyNumberFormat="1" applyFont="1" applyBorder="1" applyAlignment="1">
      <alignment horizontal="left"/>
    </xf>
    <xf numFmtId="1" fontId="8" fillId="0" borderId="1" xfId="0" quotePrefix="1" applyNumberFormat="1" applyFont="1" applyBorder="1" applyAlignment="1">
      <alignment horizontal="left"/>
    </xf>
    <xf numFmtId="9" fontId="8" fillId="0" borderId="1" xfId="3" applyFont="1" applyBorder="1" applyAlignment="1">
      <alignment horizontal="left"/>
    </xf>
    <xf numFmtId="1" fontId="12" fillId="0" borderId="1" xfId="4" applyNumberFormat="1" applyFont="1" applyBorder="1" applyAlignment="1">
      <alignment horizontal="left"/>
    </xf>
    <xf numFmtId="0" fontId="8" fillId="0" borderId="1" xfId="5" quotePrefix="1" applyFont="1" applyBorder="1" applyAlignment="1">
      <alignment horizontal="left" vertical="center"/>
    </xf>
    <xf numFmtId="14" fontId="8" fillId="0" borderId="1" xfId="5" quotePrefix="1" applyNumberFormat="1" applyFont="1" applyBorder="1" applyAlignment="1">
      <alignment horizontal="left" vertical="center"/>
    </xf>
    <xf numFmtId="0" fontId="8" fillId="0" borderId="0" xfId="6" applyFont="1"/>
    <xf numFmtId="0" fontId="8" fillId="0" borderId="0" xfId="6" applyFont="1" applyAlignment="1">
      <alignment vertical="top"/>
    </xf>
    <xf numFmtId="0" fontId="7" fillId="0" borderId="1" xfId="6" applyFont="1" applyBorder="1"/>
    <xf numFmtId="0" fontId="8" fillId="0" borderId="1" xfId="6" applyFont="1" applyBorder="1" applyAlignment="1">
      <alignment horizontal="center" vertical="center"/>
    </xf>
    <xf numFmtId="0" fontId="8" fillId="0" borderId="1" xfId="6" applyFont="1" applyBorder="1" applyAlignment="1">
      <alignment horizontal="left"/>
    </xf>
    <xf numFmtId="171" fontId="8" fillId="0" borderId="1" xfId="6" applyNumberFormat="1" applyFont="1" applyBorder="1" applyAlignment="1">
      <alignment horizontal="left"/>
    </xf>
    <xf numFmtId="0" fontId="8" fillId="0" borderId="3" xfId="6" applyFont="1" applyBorder="1" applyAlignment="1">
      <alignment horizontal="center"/>
    </xf>
    <xf numFmtId="0" fontId="8" fillId="0" borderId="3" xfId="6" applyFont="1" applyBorder="1"/>
    <xf numFmtId="0" fontId="8" fillId="0" borderId="2" xfId="6" applyFont="1" applyBorder="1" applyAlignment="1">
      <alignment horizontal="center"/>
    </xf>
    <xf numFmtId="0" fontId="8" fillId="0" borderId="7" xfId="6" applyFont="1" applyBorder="1"/>
    <xf numFmtId="0" fontId="8" fillId="0" borderId="9" xfId="6" applyFont="1" applyBorder="1"/>
    <xf numFmtId="0" fontId="8" fillId="0" borderId="2" xfId="6" applyFont="1" applyBorder="1"/>
    <xf numFmtId="0" fontId="8" fillId="0" borderId="4" xfId="6" applyFont="1" applyBorder="1" applyAlignment="1">
      <alignment horizontal="center"/>
    </xf>
    <xf numFmtId="0" fontId="8" fillId="0" borderId="5" xfId="6" applyFont="1" applyBorder="1"/>
    <xf numFmtId="0" fontId="8" fillId="0" borderId="10" xfId="6" applyFont="1" applyBorder="1"/>
    <xf numFmtId="0" fontId="8" fillId="0" borderId="11" xfId="6" applyFont="1" applyBorder="1"/>
    <xf numFmtId="0" fontId="8" fillId="0" borderId="4" xfId="6" applyFont="1" applyBorder="1"/>
    <xf numFmtId="0" fontId="7" fillId="0" borderId="0" xfId="6" applyFont="1"/>
    <xf numFmtId="0" fontId="14" fillId="0" borderId="0" xfId="6" applyFont="1" applyAlignment="1">
      <alignment vertical="top"/>
    </xf>
    <xf numFmtId="0" fontId="15" fillId="0" borderId="0" xfId="6" applyFont="1" applyAlignment="1">
      <alignment vertical="top"/>
    </xf>
    <xf numFmtId="0" fontId="16" fillId="0" borderId="0" xfId="6" applyFont="1" applyAlignment="1">
      <alignment horizontal="center"/>
    </xf>
    <xf numFmtId="0" fontId="17" fillId="0" borderId="0" xfId="6" applyFont="1"/>
    <xf numFmtId="0" fontId="7" fillId="0" borderId="0" xfId="6" applyFont="1" applyAlignment="1">
      <alignment horizontal="center"/>
    </xf>
    <xf numFmtId="0" fontId="14" fillId="0" borderId="0" xfId="6" applyFont="1"/>
    <xf numFmtId="0" fontId="7" fillId="0" borderId="1" xfId="6" applyFont="1" applyBorder="1" applyAlignment="1">
      <alignment horizontal="center" vertical="center"/>
    </xf>
    <xf numFmtId="0" fontId="7" fillId="0" borderId="6" xfId="6" applyFont="1" applyBorder="1" applyAlignment="1">
      <alignment horizontal="center" vertical="center"/>
    </xf>
    <xf numFmtId="0" fontId="7" fillId="0" borderId="12" xfId="6" applyFont="1" applyBorder="1" applyAlignment="1">
      <alignment horizontal="center" vertical="center" wrapText="1"/>
    </xf>
    <xf numFmtId="0" fontId="7" fillId="0" borderId="1" xfId="6" applyFont="1" applyBorder="1" applyAlignment="1">
      <alignment horizontal="center" vertical="center" wrapText="1"/>
    </xf>
    <xf numFmtId="0" fontId="8" fillId="0" borderId="1" xfId="6" applyFont="1" applyBorder="1"/>
    <xf numFmtId="0" fontId="8" fillId="0" borderId="6" xfId="6" applyFont="1" applyBorder="1"/>
    <xf numFmtId="0" fontId="8" fillId="0" borderId="12" xfId="6" applyFont="1" applyBorder="1" applyAlignment="1">
      <alignment horizontal="center" vertical="center"/>
    </xf>
    <xf numFmtId="172" fontId="8" fillId="0" borderId="1" xfId="1" applyNumberFormat="1" applyFont="1" applyBorder="1"/>
    <xf numFmtId="0" fontId="7" fillId="0" borderId="6" xfId="6" applyFont="1" applyBorder="1"/>
    <xf numFmtId="0" fontId="7" fillId="0" borderId="12" xfId="6" applyFont="1" applyBorder="1" applyAlignment="1">
      <alignment horizontal="center" vertical="center"/>
    </xf>
    <xf numFmtId="172" fontId="7" fillId="0" borderId="1" xfId="1" applyNumberFormat="1" applyFont="1" applyBorder="1"/>
    <xf numFmtId="0" fontId="8" fillId="0" borderId="0" xfId="6" applyFont="1" applyAlignment="1">
      <alignment horizontal="center"/>
    </xf>
    <xf numFmtId="0" fontId="18" fillId="0" borderId="0" xfId="0" applyFont="1"/>
    <xf numFmtId="0" fontId="8" fillId="0" borderId="0" xfId="0" applyFont="1" applyAlignment="1">
      <alignment horizontal="center"/>
    </xf>
    <xf numFmtId="0" fontId="8" fillId="0" borderId="0" xfId="0" applyFont="1" applyAlignment="1">
      <alignment horizontal="center" vertical="center"/>
    </xf>
    <xf numFmtId="1" fontId="8" fillId="0" borderId="0" xfId="0" applyNumberFormat="1" applyFont="1"/>
    <xf numFmtId="0" fontId="8" fillId="0" borderId="0" xfId="0" applyFont="1" applyAlignment="1">
      <alignment vertical="top"/>
    </xf>
    <xf numFmtId="0" fontId="8" fillId="0" borderId="0" xfId="0" applyFont="1" applyAlignment="1">
      <alignment horizontal="left" vertical="center"/>
    </xf>
    <xf numFmtId="49" fontId="8" fillId="0" borderId="0" xfId="0" applyNumberFormat="1" applyFont="1"/>
    <xf numFmtId="0" fontId="8" fillId="0" borderId="0" xfId="7" applyNumberFormat="1" applyFont="1" applyAlignment="1"/>
    <xf numFmtId="1" fontId="8" fillId="0" borderId="0" xfId="0" applyNumberFormat="1" applyFont="1" applyAlignment="1">
      <alignment horizontal="left"/>
    </xf>
    <xf numFmtId="0" fontId="8" fillId="0" borderId="0" xfId="0" applyFont="1" applyAlignment="1">
      <alignment horizontal="left" vertical="top"/>
    </xf>
    <xf numFmtId="0" fontId="7" fillId="0" borderId="1" xfId="0" applyFont="1" applyBorder="1" applyAlignment="1">
      <alignment horizontal="center"/>
    </xf>
    <xf numFmtId="0" fontId="7" fillId="0" borderId="1" xfId="0" applyFont="1" applyBorder="1" applyAlignment="1">
      <alignment horizontal="center" vertical="top"/>
    </xf>
    <xf numFmtId="0" fontId="8" fillId="0" borderId="6" xfId="0" applyFont="1" applyBorder="1" applyAlignment="1">
      <alignment horizontal="left" vertical="top"/>
    </xf>
    <xf numFmtId="0" fontId="8" fillId="0" borderId="13" xfId="0" applyFont="1" applyBorder="1" applyAlignment="1">
      <alignment vertical="top"/>
    </xf>
    <xf numFmtId="0" fontId="8" fillId="0" borderId="12" xfId="0" applyFont="1" applyBorder="1" applyAlignment="1">
      <alignment vertical="top"/>
    </xf>
    <xf numFmtId="168" fontId="8" fillId="0" borderId="12" xfId="1" applyNumberFormat="1" applyFont="1" applyBorder="1" applyAlignment="1">
      <alignment vertical="center"/>
    </xf>
    <xf numFmtId="0" fontId="8" fillId="0" borderId="1" xfId="0" applyFont="1" applyBorder="1" applyAlignment="1">
      <alignment horizontal="center" vertical="center"/>
    </xf>
    <xf numFmtId="168" fontId="8" fillId="0" borderId="1" xfId="0" applyNumberFormat="1" applyFont="1" applyBorder="1"/>
    <xf numFmtId="0" fontId="8" fillId="0" borderId="6" xfId="0" applyFont="1" applyBorder="1" applyAlignment="1">
      <alignment vertical="center"/>
    </xf>
    <xf numFmtId="0" fontId="8" fillId="0" borderId="13" xfId="0" applyFont="1" applyBorder="1" applyAlignment="1">
      <alignment horizontal="left" vertical="top"/>
    </xf>
    <xf numFmtId="0" fontId="8" fillId="0" borderId="13" xfId="0" applyFont="1" applyBorder="1" applyAlignment="1">
      <alignment vertical="center"/>
    </xf>
    <xf numFmtId="0" fontId="7" fillId="0" borderId="12" xfId="0" applyFont="1" applyBorder="1" applyAlignment="1">
      <alignment horizontal="right" vertical="center"/>
    </xf>
    <xf numFmtId="168" fontId="7" fillId="0" borderId="1" xfId="0" applyNumberFormat="1" applyFont="1" applyBorder="1"/>
    <xf numFmtId="0" fontId="8" fillId="0" borderId="0" xfId="0" applyFont="1" applyAlignment="1">
      <alignment vertical="justify" wrapText="1"/>
    </xf>
    <xf numFmtId="0" fontId="7" fillId="0" borderId="0" xfId="0" applyFont="1"/>
    <xf numFmtId="0" fontId="21" fillId="0" borderId="0" xfId="6" applyFont="1" applyAlignment="1">
      <alignment vertical="top"/>
    </xf>
    <xf numFmtId="0" fontId="22" fillId="0" borderId="0" xfId="6" applyFont="1" applyAlignment="1">
      <alignment vertical="top"/>
    </xf>
    <xf numFmtId="0" fontId="2" fillId="0" borderId="0" xfId="6"/>
    <xf numFmtId="0" fontId="8" fillId="0" borderId="0" xfId="6" applyFont="1" applyAlignment="1">
      <alignment horizontal="left"/>
    </xf>
    <xf numFmtId="15" fontId="8" fillId="0" borderId="0" xfId="6" applyNumberFormat="1" applyFont="1"/>
    <xf numFmtId="0" fontId="8" fillId="0" borderId="0" xfId="6" applyFont="1" applyAlignment="1">
      <alignment horizontal="left" vertical="top"/>
    </xf>
    <xf numFmtId="0" fontId="7" fillId="0" borderId="14" xfId="6" applyFont="1" applyBorder="1" applyAlignment="1">
      <alignment horizontal="center" vertical="center"/>
    </xf>
    <xf numFmtId="0" fontId="7" fillId="0" borderId="5" xfId="6" applyFont="1" applyBorder="1" applyAlignment="1">
      <alignment horizontal="center" vertical="center"/>
    </xf>
    <xf numFmtId="0" fontId="8" fillId="0" borderId="1" xfId="6" applyFont="1" applyBorder="1" applyAlignment="1">
      <alignment horizontal="center"/>
    </xf>
    <xf numFmtId="0" fontId="8" fillId="0" borderId="12" xfId="6" applyFont="1" applyBorder="1" applyAlignment="1">
      <alignment horizontal="center"/>
    </xf>
    <xf numFmtId="0" fontId="2" fillId="0" borderId="0" xfId="6" applyAlignment="1">
      <alignment horizontal="center"/>
    </xf>
    <xf numFmtId="1" fontId="8" fillId="0" borderId="0" xfId="6" applyNumberFormat="1" applyFont="1"/>
    <xf numFmtId="0" fontId="0" fillId="0" borderId="16" xfId="0" applyBorder="1"/>
    <xf numFmtId="0" fontId="24" fillId="0" borderId="0" xfId="8" applyFont="1"/>
    <xf numFmtId="0" fontId="24" fillId="0" borderId="0" xfId="8" applyFont="1" applyAlignment="1">
      <alignment horizontal="right"/>
    </xf>
    <xf numFmtId="0" fontId="24" fillId="0" borderId="0" xfId="8" applyFont="1" applyAlignment="1">
      <alignment horizontal="left"/>
    </xf>
    <xf numFmtId="0" fontId="8" fillId="0" borderId="0" xfId="9" applyFont="1" applyAlignment="1">
      <alignment horizontal="left"/>
    </xf>
    <xf numFmtId="0" fontId="24" fillId="0" borderId="0" xfId="8" applyFont="1" applyAlignment="1">
      <alignment vertical="top"/>
    </xf>
    <xf numFmtId="0" fontId="24" fillId="0" borderId="0" xfId="8" applyFont="1" applyAlignment="1">
      <alignment horizontal="right" vertical="top"/>
    </xf>
    <xf numFmtId="0" fontId="24" fillId="0" borderId="0" xfId="8" applyFont="1" applyAlignment="1">
      <alignment horizontal="left" vertical="top"/>
    </xf>
    <xf numFmtId="0" fontId="24" fillId="0" borderId="0" xfId="8" quotePrefix="1" applyFont="1"/>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7" fillId="0" borderId="1" xfId="0" applyFont="1" applyBorder="1" applyAlignment="1">
      <alignment horizontal="center" vertical="center" wrapText="1"/>
    </xf>
    <xf numFmtId="0" fontId="8" fillId="0" borderId="3" xfId="0" applyFont="1" applyBorder="1" applyAlignment="1">
      <alignment horizontal="center" vertical="center"/>
    </xf>
    <xf numFmtId="0" fontId="8" fillId="0" borderId="6" xfId="0" applyFont="1" applyBorder="1" applyAlignment="1">
      <alignment horizontal="left" vertical="top" wrapText="1"/>
    </xf>
    <xf numFmtId="164" fontId="8" fillId="0" borderId="3" xfId="10" applyNumberFormat="1" applyFont="1" applyFill="1" applyBorder="1" applyAlignment="1">
      <alignment horizontal="center" vertical="center" wrapText="1"/>
    </xf>
    <xf numFmtId="0" fontId="8" fillId="0" borderId="3" xfId="0" applyFont="1" applyBorder="1" applyAlignment="1">
      <alignment horizontal="center" vertical="center" wrapText="1"/>
    </xf>
    <xf numFmtId="164" fontId="8" fillId="0" borderId="3" xfId="2" applyNumberFormat="1" applyFont="1" applyFill="1" applyBorder="1" applyAlignment="1">
      <alignment vertical="center"/>
    </xf>
    <xf numFmtId="164" fontId="8" fillId="0" borderId="3" xfId="2" applyNumberFormat="1" applyFont="1" applyBorder="1" applyAlignment="1">
      <alignment vertical="center"/>
    </xf>
    <xf numFmtId="164" fontId="7" fillId="0" borderId="3" xfId="2" applyNumberFormat="1" applyFont="1" applyBorder="1" applyAlignment="1">
      <alignment vertical="center"/>
    </xf>
    <xf numFmtId="164" fontId="24" fillId="0" borderId="0" xfId="8" applyNumberFormat="1" applyFont="1"/>
    <xf numFmtId="0" fontId="26" fillId="0" borderId="0" xfId="0" applyFont="1"/>
    <xf numFmtId="0" fontId="27" fillId="0" borderId="0" xfId="8" applyFont="1"/>
    <xf numFmtId="0" fontId="23" fillId="0" borderId="0" xfId="8" applyFont="1"/>
    <xf numFmtId="0" fontId="7" fillId="8" borderId="0" xfId="8" applyFont="1" applyFill="1" applyAlignment="1">
      <alignment vertical="top"/>
    </xf>
    <xf numFmtId="0" fontId="28" fillId="0" borderId="17" xfId="12" applyFont="1" applyBorder="1"/>
    <xf numFmtId="0" fontId="28" fillId="0" borderId="18" xfId="12" applyFont="1" applyBorder="1"/>
    <xf numFmtId="0" fontId="28" fillId="0" borderId="19" xfId="12" applyFont="1" applyBorder="1"/>
    <xf numFmtId="0" fontId="28" fillId="0" borderId="20" xfId="12" applyFont="1" applyBorder="1"/>
    <xf numFmtId="0" fontId="28" fillId="0" borderId="0" xfId="12" applyFont="1"/>
    <xf numFmtId="0" fontId="28" fillId="0" borderId="21" xfId="12" applyFont="1" applyBorder="1"/>
    <xf numFmtId="0" fontId="28" fillId="0" borderId="22" xfId="12" applyFont="1" applyBorder="1"/>
    <xf numFmtId="0" fontId="28" fillId="0" borderId="16" xfId="12" applyFont="1" applyBorder="1"/>
    <xf numFmtId="0" fontId="28" fillId="0" borderId="23" xfId="12" applyFont="1" applyBorder="1"/>
    <xf numFmtId="0" fontId="24" fillId="0" borderId="20" xfId="12" applyFont="1" applyBorder="1"/>
    <xf numFmtId="0" fontId="23" fillId="0" borderId="20" xfId="12" applyFont="1" applyBorder="1" applyAlignment="1">
      <alignment horizontal="center"/>
    </xf>
    <xf numFmtId="0" fontId="23" fillId="0" borderId="0" xfId="12" applyFont="1" applyAlignment="1">
      <alignment horizontal="center"/>
    </xf>
    <xf numFmtId="0" fontId="24" fillId="0" borderId="0" xfId="12" applyFont="1"/>
    <xf numFmtId="0" fontId="24" fillId="0" borderId="0" xfId="12" applyFont="1" applyAlignment="1">
      <alignment horizontal="left"/>
    </xf>
    <xf numFmtId="164" fontId="24" fillId="0" borderId="0" xfId="12" applyNumberFormat="1" applyFont="1"/>
    <xf numFmtId="0" fontId="24" fillId="0" borderId="20" xfId="12" applyFont="1" applyBorder="1" applyAlignment="1">
      <alignment vertical="top"/>
    </xf>
    <xf numFmtId="0" fontId="24" fillId="0" borderId="0" xfId="12" applyFont="1" applyAlignment="1">
      <alignment vertical="top"/>
    </xf>
    <xf numFmtId="0" fontId="29" fillId="0" borderId="0" xfId="13" applyFont="1"/>
    <xf numFmtId="14" fontId="8" fillId="0" borderId="0" xfId="13" applyNumberFormat="1" applyFont="1"/>
    <xf numFmtId="0" fontId="29" fillId="0" borderId="0" xfId="13" applyFont="1" applyAlignment="1">
      <alignment horizontal="left"/>
    </xf>
    <xf numFmtId="0" fontId="24" fillId="0" borderId="20" xfId="12" applyFont="1" applyBorder="1" applyAlignment="1">
      <alignment horizontal="center"/>
    </xf>
    <xf numFmtId="0" fontId="24" fillId="0" borderId="0" xfId="12" applyFont="1" applyAlignment="1">
      <alignment horizontal="center"/>
    </xf>
    <xf numFmtId="0" fontId="24" fillId="0" borderId="20" xfId="12" quotePrefix="1" applyFont="1" applyBorder="1"/>
    <xf numFmtId="0" fontId="24" fillId="0" borderId="0" xfId="12" quotePrefix="1" applyFont="1"/>
    <xf numFmtId="0" fontId="23" fillId="0" borderId="20" xfId="12" applyFont="1" applyBorder="1"/>
    <xf numFmtId="0" fontId="27" fillId="0" borderId="0" xfId="12" applyFont="1"/>
    <xf numFmtId="0" fontId="23" fillId="0" borderId="0" xfId="12" applyFont="1"/>
    <xf numFmtId="0" fontId="30" fillId="0" borderId="21" xfId="12" applyFont="1" applyBorder="1"/>
    <xf numFmtId="41" fontId="23" fillId="0" borderId="0" xfId="2" applyFont="1" applyBorder="1" applyAlignment="1"/>
    <xf numFmtId="0" fontId="23" fillId="0" borderId="22" xfId="12" applyFont="1" applyBorder="1"/>
    <xf numFmtId="0" fontId="23" fillId="0" borderId="16" xfId="12" applyFont="1" applyBorder="1"/>
    <xf numFmtId="41" fontId="23" fillId="0" borderId="16" xfId="2" applyFont="1" applyBorder="1" applyAlignment="1"/>
    <xf numFmtId="0" fontId="30" fillId="0" borderId="23" xfId="12" applyFont="1" applyBorder="1"/>
    <xf numFmtId="0" fontId="24" fillId="0" borderId="22" xfId="12" applyFont="1" applyBorder="1"/>
    <xf numFmtId="0" fontId="24" fillId="0" borderId="16" xfId="12" applyFont="1" applyBorder="1"/>
    <xf numFmtId="0" fontId="0" fillId="0" borderId="24" xfId="0" applyBorder="1"/>
    <xf numFmtId="0" fontId="0" fillId="0" borderId="25" xfId="0" applyBorder="1"/>
    <xf numFmtId="0" fontId="0" fillId="0" borderId="26" xfId="0" applyBorder="1"/>
    <xf numFmtId="0" fontId="31" fillId="0" borderId="27" xfId="0" applyFont="1" applyBorder="1"/>
    <xf numFmtId="0" fontId="31" fillId="0" borderId="0" xfId="0" applyFont="1"/>
    <xf numFmtId="0" fontId="31" fillId="0" borderId="28" xfId="0" applyFont="1" applyBorder="1"/>
    <xf numFmtId="0" fontId="8" fillId="0" borderId="27" xfId="0" applyFont="1" applyBorder="1"/>
    <xf numFmtId="0" fontId="8" fillId="0" borderId="28" xfId="0" applyFont="1" applyBorder="1"/>
    <xf numFmtId="0" fontId="0" fillId="0" borderId="27" xfId="0" applyBorder="1"/>
    <xf numFmtId="0" fontId="0" fillId="0" borderId="28" xfId="0" applyBorder="1"/>
    <xf numFmtId="0" fontId="9" fillId="0" borderId="27" xfId="0" applyFont="1" applyBorder="1"/>
    <xf numFmtId="0" fontId="9" fillId="0" borderId="28" xfId="0" applyFont="1" applyBorder="1"/>
    <xf numFmtId="0" fontId="7" fillId="0" borderId="27" xfId="0" applyFont="1" applyBorder="1"/>
    <xf numFmtId="0" fontId="7" fillId="0" borderId="28" xfId="0" applyFont="1" applyBorder="1"/>
    <xf numFmtId="0" fontId="17" fillId="0" borderId="0" xfId="0" applyFont="1"/>
    <xf numFmtId="0" fontId="17" fillId="0" borderId="28" xfId="0" applyFont="1" applyBorder="1"/>
    <xf numFmtId="0" fontId="8" fillId="0" borderId="0" xfId="0" applyFont="1" applyAlignment="1">
      <alignment horizontal="left"/>
    </xf>
    <xf numFmtId="0" fontId="8" fillId="0" borderId="28" xfId="0" applyFont="1" applyBorder="1" applyAlignment="1">
      <alignment horizontal="left"/>
    </xf>
    <xf numFmtId="166" fontId="8" fillId="0" borderId="0" xfId="0" applyNumberFormat="1" applyFont="1"/>
    <xf numFmtId="2" fontId="8" fillId="0" borderId="0" xfId="0" applyNumberFormat="1" applyFont="1" applyAlignment="1">
      <alignment vertical="top"/>
    </xf>
    <xf numFmtId="39" fontId="8" fillId="0" borderId="0" xfId="0" applyNumberFormat="1" applyFont="1" applyAlignment="1">
      <alignment horizontal="left"/>
    </xf>
    <xf numFmtId="0" fontId="7" fillId="0" borderId="0" xfId="0" applyFont="1" applyAlignment="1">
      <alignment vertical="top"/>
    </xf>
    <xf numFmtId="0" fontId="20" fillId="0" borderId="28" xfId="0" applyFont="1" applyBorder="1"/>
    <xf numFmtId="0" fontId="20" fillId="0" borderId="0" xfId="0" applyFont="1"/>
    <xf numFmtId="0" fontId="8" fillId="0" borderId="29" xfId="0" applyFont="1" applyBorder="1"/>
    <xf numFmtId="0" fontId="8" fillId="0" borderId="8" xfId="0" applyFont="1" applyBorder="1"/>
    <xf numFmtId="0" fontId="8" fillId="0" borderId="30" xfId="0" applyFont="1" applyBorder="1"/>
    <xf numFmtId="0" fontId="33" fillId="0" borderId="0" xfId="14" applyFont="1"/>
    <xf numFmtId="0" fontId="33" fillId="0" borderId="0" xfId="14" applyFont="1" applyAlignment="1">
      <alignment horizontal="right"/>
    </xf>
    <xf numFmtId="0" fontId="33" fillId="0" borderId="0" xfId="14" applyFont="1" applyAlignment="1">
      <alignment horizontal="right" vertical="top"/>
    </xf>
    <xf numFmtId="0" fontId="33" fillId="0" borderId="0" xfId="14" applyFont="1" applyAlignment="1">
      <alignment vertical="top"/>
    </xf>
    <xf numFmtId="0" fontId="33" fillId="0" borderId="0" xfId="14" applyFont="1" applyAlignment="1">
      <alignment horizontal="left" vertical="top"/>
    </xf>
    <xf numFmtId="0" fontId="34" fillId="0" borderId="0" xfId="14" applyFont="1" applyAlignment="1">
      <alignment horizontal="left" vertical="top"/>
    </xf>
    <xf numFmtId="0" fontId="33" fillId="0" borderId="6" xfId="14" applyFont="1" applyBorder="1" applyAlignment="1">
      <alignment horizontal="center" vertical="center"/>
    </xf>
    <xf numFmtId="0" fontId="33" fillId="0" borderId="13" xfId="14" applyFont="1" applyBorder="1" applyAlignment="1">
      <alignment horizontal="right"/>
    </xf>
    <xf numFmtId="0" fontId="33" fillId="0" borderId="13" xfId="14" applyFont="1" applyBorder="1"/>
    <xf numFmtId="0" fontId="33" fillId="0" borderId="12" xfId="14" applyFont="1" applyBorder="1"/>
    <xf numFmtId="0" fontId="33" fillId="0" borderId="14" xfId="14" applyFont="1" applyBorder="1" applyAlignment="1">
      <alignment horizontal="center" vertical="center"/>
    </xf>
    <xf numFmtId="0" fontId="33" fillId="0" borderId="31" xfId="14" applyFont="1" applyBorder="1" applyAlignment="1">
      <alignment horizontal="left"/>
    </xf>
    <xf numFmtId="0" fontId="33" fillId="0" borderId="31" xfId="14" applyFont="1" applyBorder="1" applyAlignment="1">
      <alignment horizontal="right"/>
    </xf>
    <xf numFmtId="0" fontId="33" fillId="0" borderId="31" xfId="14" applyFont="1" applyBorder="1"/>
    <xf numFmtId="0" fontId="33" fillId="0" borderId="15" xfId="14" applyFont="1" applyBorder="1"/>
    <xf numFmtId="0" fontId="33" fillId="0" borderId="7" xfId="14" applyFont="1" applyBorder="1" applyAlignment="1">
      <alignment horizontal="center" vertical="center"/>
    </xf>
    <xf numFmtId="0" fontId="33" fillId="0" borderId="1" xfId="14" applyFont="1" applyBorder="1" applyAlignment="1">
      <alignment horizontal="center"/>
    </xf>
    <xf numFmtId="0" fontId="33" fillId="0" borderId="1" xfId="14" applyFont="1" applyBorder="1"/>
    <xf numFmtId="0" fontId="33" fillId="0" borderId="9" xfId="14" applyFont="1" applyBorder="1"/>
    <xf numFmtId="0" fontId="33" fillId="0" borderId="5" xfId="14" applyFont="1" applyBorder="1" applyAlignment="1">
      <alignment horizontal="center" vertical="center"/>
    </xf>
    <xf numFmtId="0" fontId="33" fillId="0" borderId="10" xfId="14" applyFont="1" applyBorder="1" applyAlignment="1">
      <alignment horizontal="left"/>
    </xf>
    <xf numFmtId="0" fontId="33" fillId="0" borderId="10" xfId="14" applyFont="1" applyBorder="1" applyAlignment="1">
      <alignment horizontal="right"/>
    </xf>
    <xf numFmtId="0" fontId="33" fillId="0" borderId="10" xfId="14" applyFont="1" applyBorder="1"/>
    <xf numFmtId="0" fontId="33" fillId="0" borderId="11" xfId="14" applyFont="1" applyBorder="1"/>
    <xf numFmtId="0" fontId="33" fillId="0" borderId="14" xfId="14" applyFont="1" applyBorder="1" applyAlignment="1">
      <alignment horizontal="center" vertical="top"/>
    </xf>
    <xf numFmtId="0" fontId="33" fillId="0" borderId="31" xfId="14" applyFont="1" applyBorder="1" applyAlignment="1">
      <alignment horizontal="right" vertical="top"/>
    </xf>
    <xf numFmtId="1" fontId="33" fillId="0" borderId="0" xfId="14" applyNumberFormat="1" applyFont="1"/>
    <xf numFmtId="0" fontId="34" fillId="0" borderId="0" xfId="14" applyFont="1"/>
    <xf numFmtId="0" fontId="33" fillId="0" borderId="14" xfId="14" applyFont="1" applyBorder="1"/>
    <xf numFmtId="0" fontId="33" fillId="0" borderId="7" xfId="14" applyFont="1" applyBorder="1"/>
    <xf numFmtId="0" fontId="33" fillId="0" borderId="0" xfId="14" applyFont="1" applyAlignment="1">
      <alignment horizontal="left"/>
    </xf>
    <xf numFmtId="0" fontId="33" fillId="0" borderId="9" xfId="14" applyFont="1" applyBorder="1" applyAlignment="1">
      <alignment horizontal="left"/>
    </xf>
    <xf numFmtId="0" fontId="33" fillId="0" borderId="5" xfId="14" applyFont="1" applyBorder="1"/>
    <xf numFmtId="41" fontId="33" fillId="0" borderId="0" xfId="2" applyFont="1" applyBorder="1" applyAlignment="1"/>
    <xf numFmtId="41" fontId="33" fillId="0" borderId="10" xfId="2" applyFont="1" applyBorder="1" applyAlignment="1">
      <alignment horizontal="left"/>
    </xf>
    <xf numFmtId="0" fontId="34" fillId="0" borderId="1" xfId="14" applyFont="1" applyBorder="1" applyAlignment="1">
      <alignment horizontal="center" vertical="center"/>
    </xf>
    <xf numFmtId="0" fontId="33" fillId="0" borderId="1" xfId="14" applyFont="1" applyBorder="1" applyAlignment="1">
      <alignment horizontal="center" vertical="center"/>
    </xf>
    <xf numFmtId="0" fontId="33" fillId="0" borderId="3" xfId="14" applyFont="1" applyBorder="1" applyAlignment="1">
      <alignment horizontal="center" vertical="center"/>
    </xf>
    <xf numFmtId="0" fontId="33" fillId="0" borderId="2" xfId="14" applyFont="1" applyBorder="1" applyAlignment="1">
      <alignment horizontal="center" vertical="center"/>
    </xf>
    <xf numFmtId="0" fontId="33" fillId="0" borderId="4" xfId="14" applyFont="1" applyBorder="1" applyAlignment="1">
      <alignment horizontal="center" vertical="top"/>
    </xf>
    <xf numFmtId="0" fontId="33" fillId="0" borderId="10" xfId="14" applyFont="1" applyBorder="1" applyAlignment="1">
      <alignment horizontal="right" vertical="top"/>
    </xf>
    <xf numFmtId="0" fontId="33" fillId="0" borderId="1" xfId="14" applyFont="1" applyBorder="1" applyAlignment="1">
      <alignment vertical="top" wrapText="1"/>
    </xf>
    <xf numFmtId="9" fontId="33" fillId="0" borderId="1" xfId="14" applyNumberFormat="1" applyFont="1" applyBorder="1" applyAlignment="1">
      <alignment horizontal="center" vertical="center"/>
    </xf>
    <xf numFmtId="0" fontId="33" fillId="0" borderId="5" xfId="14" applyFont="1" applyBorder="1" applyAlignment="1">
      <alignment vertical="top"/>
    </xf>
    <xf numFmtId="0" fontId="33" fillId="0" borderId="10" xfId="14" applyFont="1" applyBorder="1" applyAlignment="1">
      <alignment vertical="top"/>
    </xf>
    <xf numFmtId="0" fontId="17" fillId="0" borderId="0" xfId="6" applyFont="1" applyAlignment="1">
      <alignment horizontal="center"/>
    </xf>
    <xf numFmtId="0" fontId="35" fillId="0" borderId="0" xfId="14" applyFont="1"/>
    <xf numFmtId="0" fontId="18" fillId="0" borderId="25" xfId="0" applyFont="1" applyBorder="1"/>
    <xf numFmtId="0" fontId="19" fillId="0" borderId="25" xfId="0" applyFont="1" applyBorder="1"/>
    <xf numFmtId="15" fontId="8" fillId="0" borderId="0" xfId="0" applyNumberFormat="1" applyFont="1"/>
    <xf numFmtId="0" fontId="8" fillId="2" borderId="0" xfId="0" quotePrefix="1" applyFont="1" applyFill="1" applyAlignment="1">
      <alignment vertical="center"/>
    </xf>
    <xf numFmtId="14" fontId="33" fillId="0" borderId="0" xfId="14" applyNumberFormat="1" applyFont="1" applyAlignment="1">
      <alignment horizontal="left"/>
    </xf>
    <xf numFmtId="0" fontId="17" fillId="0" borderId="0" xfId="9" applyFont="1" applyAlignment="1">
      <alignment horizontal="left"/>
    </xf>
    <xf numFmtId="49" fontId="39" fillId="0" borderId="32" xfId="0" quotePrefix="1" applyNumberFormat="1" applyFont="1" applyBorder="1"/>
    <xf numFmtId="0" fontId="14" fillId="0" borderId="0" xfId="6" applyFont="1" applyAlignment="1">
      <alignment horizontal="center" vertical="top"/>
    </xf>
    <xf numFmtId="0" fontId="40" fillId="0" borderId="0" xfId="6" applyFont="1" applyAlignment="1">
      <alignment vertical="top"/>
    </xf>
    <xf numFmtId="0" fontId="7" fillId="0" borderId="0" xfId="6" applyFont="1" applyAlignment="1">
      <alignment horizontal="left"/>
    </xf>
    <xf numFmtId="0" fontId="7" fillId="0" borderId="0" xfId="6" applyFont="1" applyAlignment="1">
      <alignment horizontal="left" vertical="top"/>
    </xf>
    <xf numFmtId="39" fontId="8" fillId="0" borderId="0" xfId="0" applyNumberFormat="1" applyFont="1"/>
    <xf numFmtId="174" fontId="8" fillId="0" borderId="5" xfId="5" applyNumberFormat="1" applyFont="1" applyBorder="1" applyAlignment="1">
      <alignment horizontal="left" vertical="center" wrapText="1"/>
    </xf>
    <xf numFmtId="174" fontId="8" fillId="0" borderId="6" xfId="5" applyNumberFormat="1" applyFont="1" applyBorder="1" applyAlignment="1">
      <alignment horizontal="left" vertical="center"/>
    </xf>
    <xf numFmtId="174" fontId="8" fillId="0" borderId="1" xfId="5" applyNumberFormat="1" applyFont="1" applyBorder="1" applyAlignment="1">
      <alignment horizontal="left" vertical="center"/>
    </xf>
    <xf numFmtId="174" fontId="9" fillId="3" borderId="1" xfId="5" applyNumberFormat="1" applyFont="1" applyFill="1" applyBorder="1" applyAlignment="1">
      <alignment horizontal="left" vertical="center"/>
    </xf>
    <xf numFmtId="174" fontId="8" fillId="0" borderId="0" xfId="5" applyNumberFormat="1" applyFont="1" applyAlignment="1">
      <alignment horizontal="left" vertical="center"/>
    </xf>
    <xf numFmtId="0" fontId="9" fillId="0" borderId="0" xfId="0" applyFont="1" applyAlignment="1">
      <alignment horizontal="center"/>
    </xf>
    <xf numFmtId="0" fontId="20" fillId="0" borderId="0" xfId="0" applyFont="1" applyAlignment="1">
      <alignment horizontal="center"/>
    </xf>
    <xf numFmtId="0" fontId="31"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wrapText="1"/>
    </xf>
    <xf numFmtId="166" fontId="8" fillId="0" borderId="0" xfId="0" applyNumberFormat="1" applyFont="1" applyAlignment="1">
      <alignment horizontal="left" vertical="top"/>
    </xf>
    <xf numFmtId="166" fontId="8" fillId="0" borderId="28" xfId="0" applyNumberFormat="1" applyFont="1" applyBorder="1" applyAlignment="1">
      <alignment horizontal="left" vertical="top"/>
    </xf>
    <xf numFmtId="0" fontId="7" fillId="0" borderId="0" xfId="0" applyFont="1" applyAlignment="1">
      <alignment vertical="top" wrapText="1"/>
    </xf>
    <xf numFmtId="173" fontId="7" fillId="0" borderId="0" xfId="2" applyNumberFormat="1" applyFont="1" applyBorder="1" applyAlignment="1"/>
    <xf numFmtId="0" fontId="7" fillId="0" borderId="0" xfId="2" applyNumberFormat="1" applyFont="1" applyBorder="1" applyAlignment="1">
      <alignment horizontal="left" wrapText="1"/>
    </xf>
    <xf numFmtId="0" fontId="7" fillId="0" borderId="28" xfId="2" applyNumberFormat="1" applyFont="1" applyBorder="1" applyAlignment="1">
      <alignment horizontal="left" wrapText="1"/>
    </xf>
    <xf numFmtId="0" fontId="3" fillId="0" borderId="1" xfId="0" applyFont="1" applyBorder="1" applyAlignment="1">
      <alignment horizontal="center"/>
    </xf>
    <xf numFmtId="0" fontId="7" fillId="0" borderId="1" xfId="5" applyFont="1" applyBorder="1" applyAlignment="1">
      <alignment horizontal="center" vertical="center"/>
    </xf>
    <xf numFmtId="169" fontId="7" fillId="0" borderId="3" xfId="5" applyNumberFormat="1" applyFont="1" applyBorder="1" applyAlignment="1">
      <alignment horizontal="center" vertical="center" wrapText="1"/>
    </xf>
    <xf numFmtId="169" fontId="7" fillId="0" borderId="4" xfId="5" applyNumberFormat="1" applyFont="1" applyBorder="1" applyAlignment="1">
      <alignment horizontal="center" vertical="center" wrapText="1"/>
    </xf>
    <xf numFmtId="0" fontId="7" fillId="0" borderId="1" xfId="5" applyFont="1" applyBorder="1" applyAlignment="1">
      <alignment horizontal="center"/>
    </xf>
    <xf numFmtId="0" fontId="14" fillId="0" borderId="8" xfId="6" applyFont="1" applyBorder="1" applyAlignment="1">
      <alignment horizontal="center" vertical="top"/>
    </xf>
    <xf numFmtId="0" fontId="40" fillId="0" borderId="0" xfId="6" applyFont="1" applyAlignment="1">
      <alignment horizontal="center" vertical="top"/>
    </xf>
    <xf numFmtId="0" fontId="38" fillId="0" borderId="0" xfId="6" applyFont="1" applyAlignment="1">
      <alignment horizontal="center" vertical="top"/>
    </xf>
    <xf numFmtId="0" fontId="14" fillId="0" borderId="0" xfId="6" applyFont="1" applyAlignment="1">
      <alignment horizontal="center" vertical="top"/>
    </xf>
    <xf numFmtId="0" fontId="8" fillId="0" borderId="3" xfId="6" applyFont="1" applyBorder="1" applyAlignment="1">
      <alignment horizontal="left"/>
    </xf>
    <xf numFmtId="0" fontId="7" fillId="0" borderId="0" xfId="6" applyFont="1" applyAlignment="1">
      <alignment horizontal="center"/>
    </xf>
    <xf numFmtId="0" fontId="8" fillId="0" borderId="0" xfId="6" applyFont="1" applyAlignment="1">
      <alignment horizontal="center"/>
    </xf>
    <xf numFmtId="0" fontId="8" fillId="0" borderId="0" xfId="6" applyFont="1" applyAlignment="1">
      <alignment horizontal="left" vertical="top" wrapText="1"/>
    </xf>
    <xf numFmtId="0" fontId="7" fillId="0" borderId="1" xfId="6" applyFont="1" applyBorder="1" applyAlignment="1">
      <alignment horizontal="center"/>
    </xf>
    <xf numFmtId="0" fontId="8" fillId="0" borderId="1" xfId="6" applyFont="1" applyBorder="1" applyAlignment="1">
      <alignment horizontal="left"/>
    </xf>
    <xf numFmtId="171" fontId="8" fillId="0" borderId="0" xfId="6" applyNumberFormat="1" applyFont="1" applyAlignment="1">
      <alignment horizontal="left"/>
    </xf>
    <xf numFmtId="0" fontId="7" fillId="0" borderId="6" xfId="6" applyFont="1" applyBorder="1" applyAlignment="1">
      <alignment horizontal="center"/>
    </xf>
    <xf numFmtId="0" fontId="7" fillId="0" borderId="12" xfId="6" applyFont="1" applyBorder="1" applyAlignment="1">
      <alignment horizontal="center"/>
    </xf>
    <xf numFmtId="0" fontId="37" fillId="0" borderId="0" xfId="6" applyFont="1" applyAlignment="1">
      <alignment horizontal="center" vertical="top"/>
    </xf>
    <xf numFmtId="0" fontId="8" fillId="0" borderId="0" xfId="0" applyFont="1" applyAlignment="1">
      <alignment horizontal="center"/>
    </xf>
    <xf numFmtId="0" fontId="40" fillId="0" borderId="0" xfId="0" applyFont="1" applyAlignment="1">
      <alignment horizontal="center" vertical="top"/>
    </xf>
    <xf numFmtId="0" fontId="37" fillId="0" borderId="0" xfId="0" applyFont="1" applyAlignment="1">
      <alignment horizontal="center" vertical="top"/>
    </xf>
    <xf numFmtId="0" fontId="14" fillId="0" borderId="0" xfId="0" applyFont="1" applyAlignment="1">
      <alignment horizontal="center" vertical="top"/>
    </xf>
    <xf numFmtId="0" fontId="8" fillId="0" borderId="0" xfId="0" applyFont="1" applyAlignment="1">
      <alignment horizontal="left" vertical="top" wrapText="1"/>
    </xf>
    <xf numFmtId="0" fontId="8" fillId="0" borderId="0" xfId="0" applyFont="1" applyAlignment="1">
      <alignment horizontal="justify" vertical="justify" wrapText="1"/>
    </xf>
    <xf numFmtId="0" fontId="8" fillId="0" borderId="10" xfId="0" applyFont="1" applyBorder="1" applyAlignment="1">
      <alignment horizontal="left" vertical="top" wrapText="1"/>
    </xf>
    <xf numFmtId="0" fontId="7" fillId="0" borderId="6" xfId="0" applyFont="1" applyBorder="1" applyAlignment="1">
      <alignment horizontal="center" vertical="top"/>
    </xf>
    <xf numFmtId="0" fontId="7" fillId="0" borderId="13" xfId="0" applyFont="1" applyBorder="1" applyAlignment="1">
      <alignment horizontal="center" vertical="top"/>
    </xf>
    <xf numFmtId="0" fontId="7" fillId="0" borderId="12" xfId="0" applyFont="1" applyBorder="1" applyAlignment="1">
      <alignment horizontal="center" vertical="top"/>
    </xf>
    <xf numFmtId="0" fontId="7" fillId="0" borderId="1" xfId="6" applyFont="1" applyBorder="1" applyAlignment="1">
      <alignment horizontal="center" vertical="center"/>
    </xf>
    <xf numFmtId="0" fontId="7" fillId="0" borderId="15" xfId="6" applyFont="1" applyBorder="1" applyAlignment="1">
      <alignment horizontal="center" vertical="center"/>
    </xf>
    <xf numFmtId="0" fontId="7" fillId="0" borderId="11" xfId="6" applyFont="1" applyBorder="1" applyAlignment="1">
      <alignment horizontal="center" vertical="center"/>
    </xf>
    <xf numFmtId="0" fontId="7" fillId="0" borderId="1" xfId="6" applyFont="1" applyBorder="1" applyAlignment="1">
      <alignment horizontal="center" vertical="center" wrapText="1"/>
    </xf>
    <xf numFmtId="0" fontId="7" fillId="0" borderId="6" xfId="6" applyFont="1" applyBorder="1" applyAlignment="1">
      <alignment horizontal="center" vertical="center"/>
    </xf>
    <xf numFmtId="0" fontId="7" fillId="0" borderId="13" xfId="6" applyFont="1" applyBorder="1" applyAlignment="1">
      <alignment horizontal="center" vertical="center"/>
    </xf>
    <xf numFmtId="0" fontId="7" fillId="0" borderId="12" xfId="6" applyFont="1" applyBorder="1" applyAlignment="1">
      <alignment horizontal="center" vertical="center"/>
    </xf>
    <xf numFmtId="0" fontId="15" fillId="0" borderId="0" xfId="6" applyFont="1" applyAlignment="1">
      <alignment horizontal="center" vertical="top"/>
    </xf>
    <xf numFmtId="0" fontId="7" fillId="0" borderId="15" xfId="6" applyFont="1" applyBorder="1" applyAlignment="1">
      <alignment horizontal="center" vertical="center" wrapText="1"/>
    </xf>
    <xf numFmtId="0" fontId="7" fillId="0" borderId="11" xfId="6" applyFont="1" applyBorder="1" applyAlignment="1">
      <alignment horizontal="center" vertical="center" wrapText="1"/>
    </xf>
    <xf numFmtId="0" fontId="23" fillId="0" borderId="6" xfId="11" applyFont="1" applyBorder="1" applyAlignment="1">
      <alignment horizontal="right"/>
    </xf>
    <xf numFmtId="0" fontId="23" fillId="0" borderId="13" xfId="11" applyFont="1" applyBorder="1" applyAlignment="1">
      <alignment horizontal="right"/>
    </xf>
    <xf numFmtId="0" fontId="23" fillId="0" borderId="12" xfId="11" applyFont="1" applyBorder="1" applyAlignment="1">
      <alignment horizontal="right"/>
    </xf>
    <xf numFmtId="0" fontId="25" fillId="0" borderId="6" xfId="11" applyFont="1" applyBorder="1" applyAlignment="1">
      <alignment horizontal="center"/>
    </xf>
    <xf numFmtId="0" fontId="25" fillId="0" borderId="13" xfId="11" applyFont="1" applyBorder="1" applyAlignment="1">
      <alignment horizontal="center"/>
    </xf>
    <xf numFmtId="0" fontId="25" fillId="0" borderId="12" xfId="11" applyFont="1" applyBorder="1" applyAlignment="1">
      <alignment horizontal="center"/>
    </xf>
    <xf numFmtId="0" fontId="23" fillId="0" borderId="0" xfId="8" applyFont="1" applyAlignment="1">
      <alignment horizontal="center"/>
    </xf>
    <xf numFmtId="0" fontId="33" fillId="0" borderId="0" xfId="8" applyFont="1" applyAlignment="1">
      <alignment horizontal="left" vertical="top" wrapText="1"/>
    </xf>
    <xf numFmtId="0" fontId="23" fillId="0" borderId="0" xfId="12" applyFont="1" applyAlignment="1">
      <alignment horizontal="center"/>
    </xf>
    <xf numFmtId="0" fontId="25" fillId="0" borderId="0" xfId="12" applyFont="1" applyAlignment="1">
      <alignment horizontal="justify" vertical="justify" wrapText="1"/>
    </xf>
    <xf numFmtId="0" fontId="24" fillId="0" borderId="0" xfId="6" applyFont="1"/>
    <xf numFmtId="0" fontId="24" fillId="0" borderId="0" xfId="12" applyFont="1" applyAlignment="1">
      <alignment horizontal="center"/>
    </xf>
    <xf numFmtId="0" fontId="27" fillId="0" borderId="0" xfId="12" applyFont="1" applyAlignment="1">
      <alignment horizontal="center"/>
    </xf>
    <xf numFmtId="0" fontId="33" fillId="0" borderId="0" xfId="14" applyFont="1" applyAlignment="1">
      <alignment horizontal="left"/>
    </xf>
    <xf numFmtId="0" fontId="32" fillId="0" borderId="0" xfId="14" applyFont="1" applyAlignment="1">
      <alignment horizontal="center"/>
    </xf>
    <xf numFmtId="1" fontId="33" fillId="0" borderId="0" xfId="2" applyNumberFormat="1" applyFont="1" applyAlignment="1">
      <alignment horizontal="left"/>
    </xf>
    <xf numFmtId="0" fontId="33" fillId="0" borderId="0" xfId="14" applyFont="1" applyAlignment="1">
      <alignment horizontal="justify" vertical="top" wrapText="1"/>
    </xf>
    <xf numFmtId="0" fontId="33" fillId="0" borderId="0" xfId="14" applyFont="1" applyAlignment="1">
      <alignment horizontal="left" vertical="top" wrapText="1"/>
    </xf>
    <xf numFmtId="0" fontId="33" fillId="0" borderId="0" xfId="14" applyFont="1" applyAlignment="1">
      <alignment horizontal="left" vertical="top"/>
    </xf>
    <xf numFmtId="0" fontId="33" fillId="0" borderId="0" xfId="14" applyFont="1" applyAlignment="1">
      <alignment horizontal="left" wrapText="1"/>
    </xf>
    <xf numFmtId="41" fontId="33" fillId="0" borderId="0" xfId="2" applyFont="1" applyAlignment="1">
      <alignment horizontal="left"/>
    </xf>
    <xf numFmtId="0" fontId="34" fillId="0" borderId="0" xfId="14" applyFont="1" applyAlignment="1">
      <alignment horizontal="left" vertical="top"/>
    </xf>
    <xf numFmtId="0" fontId="33" fillId="0" borderId="13" xfId="14" applyFont="1" applyBorder="1" applyAlignment="1">
      <alignment horizontal="left"/>
    </xf>
    <xf numFmtId="0" fontId="33" fillId="0" borderId="31" xfId="14" applyFont="1" applyBorder="1" applyAlignment="1">
      <alignment horizontal="left" vertical="top"/>
    </xf>
    <xf numFmtId="9" fontId="33" fillId="0" borderId="31" xfId="14" applyNumberFormat="1" applyFont="1" applyBorder="1" applyAlignment="1">
      <alignment horizontal="justify" vertical="top" wrapText="1"/>
    </xf>
    <xf numFmtId="0" fontId="33" fillId="0" borderId="31" xfId="14" applyFont="1" applyBorder="1" applyAlignment="1">
      <alignment horizontal="justify" vertical="top" wrapText="1"/>
    </xf>
    <xf numFmtId="0" fontId="33" fillId="0" borderId="15" xfId="14" applyFont="1" applyBorder="1" applyAlignment="1">
      <alignment horizontal="justify" vertical="top" wrapText="1"/>
    </xf>
    <xf numFmtId="0" fontId="33" fillId="0" borderId="10" xfId="14" applyFont="1" applyBorder="1" applyAlignment="1">
      <alignment horizontal="left"/>
    </xf>
    <xf numFmtId="0" fontId="34" fillId="0" borderId="0" xfId="14" applyFont="1" applyAlignment="1">
      <alignment horizontal="left"/>
    </xf>
    <xf numFmtId="0" fontId="33" fillId="0" borderId="31" xfId="14" applyFont="1" applyBorder="1" applyAlignment="1">
      <alignment horizontal="left"/>
    </xf>
    <xf numFmtId="0" fontId="33" fillId="0" borderId="15" xfId="14" applyFont="1" applyBorder="1" applyAlignment="1">
      <alignment horizontal="left"/>
    </xf>
    <xf numFmtId="0" fontId="33" fillId="0" borderId="11" xfId="14" applyFont="1" applyBorder="1" applyAlignment="1">
      <alignment horizontal="left"/>
    </xf>
    <xf numFmtId="0" fontId="33" fillId="0" borderId="15" xfId="14" applyFont="1" applyBorder="1" applyAlignment="1">
      <alignment horizontal="left" vertical="top"/>
    </xf>
    <xf numFmtId="169" fontId="33" fillId="0" borderId="0" xfId="2" applyNumberFormat="1" applyFont="1" applyBorder="1" applyAlignment="1">
      <alignment horizontal="left"/>
    </xf>
    <xf numFmtId="0" fontId="34" fillId="0" borderId="1" xfId="14" applyFont="1" applyBorder="1" applyAlignment="1">
      <alignment horizontal="center" vertical="center"/>
    </xf>
    <xf numFmtId="0" fontId="34" fillId="0" borderId="1" xfId="14" applyFont="1" applyBorder="1" applyAlignment="1">
      <alignment horizontal="center" vertical="center" wrapText="1"/>
    </xf>
    <xf numFmtId="0" fontId="33" fillId="0" borderId="6" xfId="14" applyFont="1" applyBorder="1" applyAlignment="1">
      <alignment horizontal="left" vertical="center"/>
    </xf>
    <xf numFmtId="0" fontId="33" fillId="0" borderId="13" xfId="14" applyFont="1" applyBorder="1" applyAlignment="1">
      <alignment horizontal="left" vertical="center"/>
    </xf>
    <xf numFmtId="0" fontId="33" fillId="0" borderId="12" xfId="14" applyFont="1" applyBorder="1" applyAlignment="1">
      <alignment horizontal="left" vertical="center"/>
    </xf>
    <xf numFmtId="1" fontId="33" fillId="0" borderId="1" xfId="14" applyNumberFormat="1" applyFont="1" applyBorder="1" applyAlignment="1">
      <alignment horizontal="center" vertical="center"/>
    </xf>
    <xf numFmtId="0" fontId="33" fillId="0" borderId="1" xfId="14" applyFont="1" applyBorder="1" applyAlignment="1">
      <alignment horizontal="center" vertical="center"/>
    </xf>
    <xf numFmtId="1" fontId="33" fillId="0" borderId="6" xfId="14" applyNumberFormat="1" applyFont="1" applyBorder="1" applyAlignment="1">
      <alignment horizontal="left" vertical="center"/>
    </xf>
    <xf numFmtId="0" fontId="34" fillId="0" borderId="10" xfId="14" applyFont="1" applyBorder="1" applyAlignment="1">
      <alignment horizontal="left" vertical="top"/>
    </xf>
    <xf numFmtId="0" fontId="33" fillId="0" borderId="10" xfId="14" applyFont="1" applyBorder="1" applyAlignment="1">
      <alignment horizontal="left" vertical="top"/>
    </xf>
    <xf numFmtId="0" fontId="33" fillId="0" borderId="10" xfId="14" applyFont="1" applyBorder="1" applyAlignment="1">
      <alignment horizontal="justify" vertical="top" wrapText="1"/>
    </xf>
    <xf numFmtId="0" fontId="33" fillId="0" borderId="11" xfId="14" applyFont="1" applyBorder="1" applyAlignment="1">
      <alignment horizontal="justify" vertical="top" wrapText="1"/>
    </xf>
    <xf numFmtId="41" fontId="33" fillId="0" borderId="10" xfId="2" applyFont="1" applyBorder="1" applyAlignment="1">
      <alignment horizontal="left" vertical="top" wrapText="1"/>
    </xf>
    <xf numFmtId="41" fontId="33" fillId="0" borderId="11" xfId="2" applyFont="1" applyBorder="1" applyAlignment="1">
      <alignment horizontal="left" vertical="top" wrapText="1"/>
    </xf>
    <xf numFmtId="0" fontId="33" fillId="0" borderId="6" xfId="14" applyFont="1" applyBorder="1" applyAlignment="1">
      <alignment horizontal="left" vertical="center" wrapText="1"/>
    </xf>
    <xf numFmtId="0" fontId="33" fillId="0" borderId="13" xfId="14" applyFont="1" applyBorder="1" applyAlignment="1">
      <alignment horizontal="left" vertical="center" wrapText="1"/>
    </xf>
    <xf numFmtId="0" fontId="33" fillId="0" borderId="12" xfId="14" applyFont="1" applyBorder="1" applyAlignment="1">
      <alignment horizontal="left" vertical="center" wrapText="1"/>
    </xf>
    <xf numFmtId="1" fontId="33" fillId="0" borderId="6" xfId="14" applyNumberFormat="1" applyFont="1" applyBorder="1" applyAlignment="1">
      <alignment horizontal="center" vertical="center"/>
    </xf>
    <xf numFmtId="0" fontId="33" fillId="0" borderId="13" xfId="14" applyFont="1" applyBorder="1" applyAlignment="1">
      <alignment horizontal="center" vertical="center"/>
    </xf>
    <xf numFmtId="0" fontId="33" fillId="0" borderId="12" xfId="14" applyFont="1" applyBorder="1" applyAlignment="1">
      <alignment horizontal="center" vertical="center"/>
    </xf>
    <xf numFmtId="165" fontId="17" fillId="0" borderId="6" xfId="15" applyFont="1" applyBorder="1" applyAlignment="1">
      <alignment horizontal="left" vertical="center"/>
    </xf>
    <xf numFmtId="165" fontId="17" fillId="0" borderId="13" xfId="15" applyFont="1" applyBorder="1" applyAlignment="1">
      <alignment horizontal="left" vertical="center"/>
    </xf>
    <xf numFmtId="165" fontId="17" fillId="0" borderId="12" xfId="15" applyFont="1" applyBorder="1" applyAlignment="1">
      <alignment horizontal="left" vertical="center"/>
    </xf>
    <xf numFmtId="1" fontId="33" fillId="0" borderId="31" xfId="14" applyNumberFormat="1" applyFont="1" applyBorder="1" applyAlignment="1">
      <alignment horizontal="left"/>
    </xf>
  </cellXfs>
  <cellStyles count="16">
    <cellStyle name="Comma" xfId="1" builtinId="3"/>
    <cellStyle name="Comma [0]" xfId="2" builtinId="6"/>
    <cellStyle name="Comma [0] 17 2" xfId="15" xr:uid="{C604168F-D615-4CDD-8446-3E5E9F89717A}"/>
    <cellStyle name="Comma 10 4" xfId="7" xr:uid="{6EF11E57-2BB0-4DC0-B581-20F859449770}"/>
    <cellStyle name="Comma 3" xfId="10" xr:uid="{F43C479D-6383-4DD0-A2EA-BA850D222715}"/>
    <cellStyle name="Hyperlink" xfId="4" builtinId="8"/>
    <cellStyle name="Normal" xfId="0" builtinId="0"/>
    <cellStyle name="Normal 10 3" xfId="6" xr:uid="{F8677625-70F2-47D9-BA09-1F0B222739A5}"/>
    <cellStyle name="Normal 19 2" xfId="12" xr:uid="{F9CEB2EE-C5D1-43A8-B85A-AB1DAA95F415}"/>
    <cellStyle name="Normal 2 2 3" xfId="13" xr:uid="{E5BDA347-240B-4BBC-8041-7590055195CE}"/>
    <cellStyle name="Normal 20" xfId="9" xr:uid="{177D1C22-183B-4F40-A0F3-94736099B613}"/>
    <cellStyle name="Normal 20 3" xfId="14" xr:uid="{960EFA67-5CC1-4C2C-8E00-DEAFA653044B}"/>
    <cellStyle name="Normal 3" xfId="11" xr:uid="{7DCA067B-05B7-4A4F-8238-DDB53D54BF38}"/>
    <cellStyle name="Normal 3 3" xfId="8" xr:uid="{5307B42E-B7E2-4607-9F81-B9E18590C59F}"/>
    <cellStyle name="Normal_DK Asmat-_RK DAK Juknis '10" xfId="5" xr:uid="{4935458C-A8BC-4CF3-8A63-3A20F89D9BAB}"/>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2</xdr:col>
      <xdr:colOff>1181100</xdr:colOff>
      <xdr:row>19</xdr:row>
      <xdr:rowOff>0</xdr:rowOff>
    </xdr:to>
    <xdr:sp macro="" textlink="">
      <xdr:nvSpPr>
        <xdr:cNvPr id="3" name="AutoShape 3696">
          <a:extLst>
            <a:ext uri="{FF2B5EF4-FFF2-40B4-BE49-F238E27FC236}">
              <a16:creationId xmlns:a16="http://schemas.microsoft.com/office/drawing/2014/main" id="{D8D6F3F6-BDBF-494F-A85F-D956CD46F68D}"/>
            </a:ext>
          </a:extLst>
        </xdr:cNvPr>
        <xdr:cNvSpPr>
          <a:spLocks noChangeShapeType="1"/>
        </xdr:cNvSpPr>
      </xdr:nvSpPr>
      <xdr:spPr bwMode="auto">
        <a:xfrm>
          <a:off x="0" y="3743325"/>
          <a:ext cx="570547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85724</xdr:colOff>
      <xdr:row>2</xdr:row>
      <xdr:rowOff>38100</xdr:rowOff>
    </xdr:from>
    <xdr:to>
      <xdr:col>3</xdr:col>
      <xdr:colOff>628651</xdr:colOff>
      <xdr:row>7</xdr:row>
      <xdr:rowOff>142875</xdr:rowOff>
    </xdr:to>
    <xdr:pic>
      <xdr:nvPicPr>
        <xdr:cNvPr id="2" name="Picture 1" descr="Image result for Logo Jawa Barat">
          <a:extLst>
            <a:ext uri="{FF2B5EF4-FFF2-40B4-BE49-F238E27FC236}">
              <a16:creationId xmlns:a16="http://schemas.microsoft.com/office/drawing/2014/main" id="{3BAB32FB-6CDA-4CB2-8F2C-54A38121E7E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30" r="18227"/>
        <a:stretch/>
      </xdr:blipFill>
      <xdr:spPr bwMode="auto">
        <a:xfrm>
          <a:off x="1304924" y="428625"/>
          <a:ext cx="914402" cy="114300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371475</xdr:colOff>
      <xdr:row>1</xdr:row>
      <xdr:rowOff>114300</xdr:rowOff>
    </xdr:from>
    <xdr:to>
      <xdr:col>3</xdr:col>
      <xdr:colOff>1419225</xdr:colOff>
      <xdr:row>6</xdr:row>
      <xdr:rowOff>209549</xdr:rowOff>
    </xdr:to>
    <xdr:pic>
      <xdr:nvPicPr>
        <xdr:cNvPr id="3" name="Picture 2" descr="Image result for Logo Jawa Barat">
          <a:extLst>
            <a:ext uri="{FF2B5EF4-FFF2-40B4-BE49-F238E27FC236}">
              <a16:creationId xmlns:a16="http://schemas.microsoft.com/office/drawing/2014/main" id="{656E7474-999D-45AE-B4B7-E6B185D85EF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30" r="18227"/>
        <a:stretch/>
      </xdr:blipFill>
      <xdr:spPr bwMode="auto">
        <a:xfrm>
          <a:off x="1571625" y="304800"/>
          <a:ext cx="1047750" cy="1171574"/>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3</xdr:col>
      <xdr:colOff>28575</xdr:colOff>
      <xdr:row>29</xdr:row>
      <xdr:rowOff>95250</xdr:rowOff>
    </xdr:from>
    <xdr:to>
      <xdr:col>3</xdr:col>
      <xdr:colOff>1345425</xdr:colOff>
      <xdr:row>35</xdr:row>
      <xdr:rowOff>59537</xdr:rowOff>
    </xdr:to>
    <xdr:pic>
      <xdr:nvPicPr>
        <xdr:cNvPr id="2" name="Picture 1">
          <a:extLst>
            <a:ext uri="{FF2B5EF4-FFF2-40B4-BE49-F238E27FC236}">
              <a16:creationId xmlns:a16="http://schemas.microsoft.com/office/drawing/2014/main" id="{1BD885D7-1BD0-E45C-8BED-6FCAEB6235E0}"/>
            </a:ext>
          </a:extLst>
        </xdr:cNvPr>
        <xdr:cNvPicPr>
          <a:picLocks noChangeAspect="1"/>
        </xdr:cNvPicPr>
      </xdr:nvPicPr>
      <xdr:blipFill>
        <a:blip xmlns:r="http://schemas.openxmlformats.org/officeDocument/2006/relationships" r:embed="rId2"/>
        <a:stretch>
          <a:fillRect/>
        </a:stretch>
      </xdr:blipFill>
      <xdr:spPr>
        <a:xfrm>
          <a:off x="1228725" y="5562600"/>
          <a:ext cx="1316850" cy="11644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76199</xdr:colOff>
      <xdr:row>1</xdr:row>
      <xdr:rowOff>47625</xdr:rowOff>
    </xdr:from>
    <xdr:to>
      <xdr:col>3</xdr:col>
      <xdr:colOff>723899</xdr:colOff>
      <xdr:row>7</xdr:row>
      <xdr:rowOff>104775</xdr:rowOff>
    </xdr:to>
    <xdr:pic>
      <xdr:nvPicPr>
        <xdr:cNvPr id="2" name="Picture 1" descr="Image result for Logo Jawa Barat">
          <a:extLst>
            <a:ext uri="{FF2B5EF4-FFF2-40B4-BE49-F238E27FC236}">
              <a16:creationId xmlns:a16="http://schemas.microsoft.com/office/drawing/2014/main" id="{7642BE17-6470-4D0C-B19F-28ACB5E0B3B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30" r="18227"/>
        <a:stretch/>
      </xdr:blipFill>
      <xdr:spPr bwMode="auto">
        <a:xfrm>
          <a:off x="952499" y="238125"/>
          <a:ext cx="1114425" cy="1314450"/>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581025</xdr:colOff>
      <xdr:row>1</xdr:row>
      <xdr:rowOff>95250</xdr:rowOff>
    </xdr:from>
    <xdr:to>
      <xdr:col>3</xdr:col>
      <xdr:colOff>590551</xdr:colOff>
      <xdr:row>7</xdr:row>
      <xdr:rowOff>0</xdr:rowOff>
    </xdr:to>
    <xdr:pic>
      <xdr:nvPicPr>
        <xdr:cNvPr id="2" name="Picture 1" descr="Image result for Logo Jawa Barat">
          <a:extLst>
            <a:ext uri="{FF2B5EF4-FFF2-40B4-BE49-F238E27FC236}">
              <a16:creationId xmlns:a16="http://schemas.microsoft.com/office/drawing/2014/main" id="{01F1A3A0-4A88-44F9-9005-EFA278998763}"/>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30" r="18227"/>
        <a:stretch/>
      </xdr:blipFill>
      <xdr:spPr bwMode="auto">
        <a:xfrm>
          <a:off x="1190625" y="285750"/>
          <a:ext cx="1095376" cy="1247775"/>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571499</xdr:colOff>
      <xdr:row>2</xdr:row>
      <xdr:rowOff>95250</xdr:rowOff>
    </xdr:from>
    <xdr:to>
      <xdr:col>3</xdr:col>
      <xdr:colOff>809625</xdr:colOff>
      <xdr:row>7</xdr:row>
      <xdr:rowOff>161925</xdr:rowOff>
    </xdr:to>
    <xdr:pic>
      <xdr:nvPicPr>
        <xdr:cNvPr id="2" name="Picture 1" descr="Image result for Logo Jawa Barat">
          <a:extLst>
            <a:ext uri="{FF2B5EF4-FFF2-40B4-BE49-F238E27FC236}">
              <a16:creationId xmlns:a16="http://schemas.microsoft.com/office/drawing/2014/main" id="{58D92C8F-A6EC-40B4-95C3-B1E5589B7C8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30" r="18227"/>
        <a:stretch/>
      </xdr:blipFill>
      <xdr:spPr bwMode="auto">
        <a:xfrm>
          <a:off x="1181099" y="476250"/>
          <a:ext cx="1171576" cy="1266825"/>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457200</xdr:colOff>
      <xdr:row>2</xdr:row>
      <xdr:rowOff>57150</xdr:rowOff>
    </xdr:from>
    <xdr:to>
      <xdr:col>6</xdr:col>
      <xdr:colOff>1228725</xdr:colOff>
      <xdr:row>7</xdr:row>
      <xdr:rowOff>134963</xdr:rowOff>
    </xdr:to>
    <xdr:pic>
      <xdr:nvPicPr>
        <xdr:cNvPr id="3" name="Picture 2">
          <a:extLst>
            <a:ext uri="{FF2B5EF4-FFF2-40B4-BE49-F238E27FC236}">
              <a16:creationId xmlns:a16="http://schemas.microsoft.com/office/drawing/2014/main" id="{91047F18-F482-4B77-A5A3-FCAC6C241DD7}"/>
            </a:ext>
          </a:extLst>
        </xdr:cNvPr>
        <xdr:cNvPicPr>
          <a:picLocks noChangeAspect="1"/>
        </xdr:cNvPicPr>
      </xdr:nvPicPr>
      <xdr:blipFill rotWithShape="1">
        <a:blip xmlns:r="http://schemas.openxmlformats.org/officeDocument/2006/relationships" r:embed="rId1"/>
        <a:srcRect r="13228"/>
        <a:stretch/>
      </xdr:blipFill>
      <xdr:spPr>
        <a:xfrm>
          <a:off x="1676400" y="438150"/>
          <a:ext cx="7019925" cy="103031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66675</xdr:colOff>
      <xdr:row>1</xdr:row>
      <xdr:rowOff>139385</xdr:rowOff>
    </xdr:from>
    <xdr:to>
      <xdr:col>11</xdr:col>
      <xdr:colOff>123825</xdr:colOff>
      <xdr:row>8</xdr:row>
      <xdr:rowOff>144489</xdr:rowOff>
    </xdr:to>
    <xdr:pic>
      <xdr:nvPicPr>
        <xdr:cNvPr id="4" name="Picture 3">
          <a:extLst>
            <a:ext uri="{FF2B5EF4-FFF2-40B4-BE49-F238E27FC236}">
              <a16:creationId xmlns:a16="http://schemas.microsoft.com/office/drawing/2014/main" id="{B0132F91-C449-4989-A5AB-6E0F49727243}"/>
            </a:ext>
          </a:extLst>
        </xdr:cNvPr>
        <xdr:cNvPicPr>
          <a:picLocks noChangeAspect="1"/>
        </xdr:cNvPicPr>
      </xdr:nvPicPr>
      <xdr:blipFill rotWithShape="1">
        <a:blip xmlns:r="http://schemas.openxmlformats.org/officeDocument/2006/relationships" r:embed="rId1"/>
        <a:srcRect r="13228"/>
        <a:stretch/>
      </xdr:blipFill>
      <xdr:spPr>
        <a:xfrm>
          <a:off x="1047750" y="339410"/>
          <a:ext cx="7353300" cy="13386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561974</xdr:colOff>
      <xdr:row>2</xdr:row>
      <xdr:rowOff>133350</xdr:rowOff>
    </xdr:from>
    <xdr:to>
      <xdr:col>6</xdr:col>
      <xdr:colOff>66675</xdr:colOff>
      <xdr:row>12</xdr:row>
      <xdr:rowOff>142875</xdr:rowOff>
    </xdr:to>
    <xdr:pic>
      <xdr:nvPicPr>
        <xdr:cNvPr id="2" name="Picture 1" descr="Image result for Logo Jawa Barat">
          <a:extLst>
            <a:ext uri="{FF2B5EF4-FFF2-40B4-BE49-F238E27FC236}">
              <a16:creationId xmlns:a16="http://schemas.microsoft.com/office/drawing/2014/main" id="{107055B1-0681-40DD-BBFF-9603BD43B6C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230" r="18227"/>
        <a:stretch/>
      </xdr:blipFill>
      <xdr:spPr bwMode="auto">
        <a:xfrm>
          <a:off x="3438524" y="533400"/>
          <a:ext cx="1600201" cy="2143125"/>
        </a:xfrm>
        <a:prstGeom prst="rect">
          <a:avLst/>
        </a:prstGeom>
        <a:noFill/>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bouncez\one%20drive%20folder\OneDrive\!CAMPURSARI\BKU%20IKN\terbilang-DESKTOP-0TMQ41V.xla"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bouncez/one%20drive%20folder/OneDrive/DIRUT%20MSA%202022/BLANKO%20DOKUMEN%20PERMEN%2018%20TH%202022/CV.%20AL%20FATIH%20dokumen%20di%20bawah%2050jt%20BARU%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erbilang-DESKTOP-0TMQ41V"/>
    </sheetNames>
    <definedNames>
      <definedName name="terbilang"/>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BARANG"/>
      <sheetName val="INPUT DATA"/>
      <sheetName val="DOKUMEN PERENCANAAN"/>
      <sheetName val="DOKUMEN HASIL NEGOSIASI"/>
      <sheetName val="SURAT PESANAN"/>
      <sheetName val="SURAT HASIL PEMERIKSAAN"/>
      <sheetName val="BERITA ACARA SERAH TERIMA"/>
      <sheetName val="FAKTUR"/>
      <sheetName val="KUITANSI"/>
      <sheetName val="COVER KONTRAK"/>
      <sheetName val="IDENTITAS PENYEDIA"/>
    </sheetNames>
    <sheetDataSet>
      <sheetData sheetId="0" refreshError="1"/>
      <sheetData sheetId="1" refreshError="1">
        <row r="5">
          <cell r="C5" t="str">
            <v>900/   /SMKN1Pacet-Cadisdik Wil VI/   /2022</v>
          </cell>
        </row>
        <row r="52">
          <cell r="C52" t="str">
            <v>Eka Setiawati</v>
          </cell>
        </row>
        <row r="53">
          <cell r="C53">
            <v>3203115008810000</v>
          </cell>
        </row>
        <row r="54">
          <cell r="C54" t="str">
            <v>Kp. Warung Bawang RT 003 RW 004 Ds. Cibeureum Kec.Cugenang Kab. Cianjur</v>
          </cell>
        </row>
        <row r="55">
          <cell r="C55">
            <v>0.9</v>
          </cell>
        </row>
        <row r="56">
          <cell r="C56" t="str">
            <v>Direktur</v>
          </cell>
        </row>
        <row r="59">
          <cell r="C59" t="str">
            <v>S Emira Lisna Wati</v>
          </cell>
        </row>
        <row r="60">
          <cell r="C60" t="str">
            <v>3203114704030005</v>
          </cell>
        </row>
        <row r="61">
          <cell r="C61" t="str">
            <v>Kp. Mangun RT 002 RW 005 Ds. Mangunkerta Kec. Cugenang Kab. Cianjur</v>
          </cell>
        </row>
        <row r="62">
          <cell r="C62">
            <v>0.1</v>
          </cell>
        </row>
        <row r="66">
          <cell r="C66" t="str">
            <v>CV. AL FATIH</v>
          </cell>
        </row>
        <row r="68">
          <cell r="C68">
            <v>828084582406000</v>
          </cell>
        </row>
        <row r="76">
          <cell r="C76" t="str">
            <v>Nomor Induk Berusaha (NIB)</v>
          </cell>
        </row>
        <row r="77">
          <cell r="C77" t="str">
            <v>9120302470725</v>
          </cell>
        </row>
        <row r="78">
          <cell r="C78" t="str">
            <v>Seumur Hidup</v>
          </cell>
        </row>
        <row r="79">
          <cell r="C79" t="str">
            <v>Menteri Investas/Kepala Badan Koordinasi Penanaman Modal</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mailto:cv.alfatih9@gmail.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4448-0A08-4A71-B2AA-0EB3C936D5CA}">
  <dimension ref="B5:J48"/>
  <sheetViews>
    <sheetView topLeftCell="A10" workbookViewId="0">
      <selection activeCell="H14" sqref="H14"/>
    </sheetView>
  </sheetViews>
  <sheetFormatPr defaultRowHeight="15"/>
  <cols>
    <col min="2" max="2" width="3.7109375" bestFit="1" customWidth="1"/>
    <col min="3" max="3" width="31.85546875" bestFit="1" customWidth="1"/>
    <col min="5" max="6" width="20.5703125" bestFit="1" customWidth="1"/>
    <col min="7" max="7" width="27.28515625" bestFit="1" customWidth="1"/>
    <col min="8" max="8" width="13.7109375" bestFit="1" customWidth="1"/>
    <col min="9" max="9" width="22.7109375" bestFit="1" customWidth="1"/>
    <col min="10" max="10" width="28.7109375" bestFit="1" customWidth="1"/>
  </cols>
  <sheetData>
    <row r="5" spans="2:10">
      <c r="B5" s="1" t="s">
        <v>0</v>
      </c>
      <c r="C5" s="1" t="s">
        <v>1</v>
      </c>
      <c r="D5" s="1" t="s">
        <v>2</v>
      </c>
      <c r="E5" s="1" t="s">
        <v>3</v>
      </c>
      <c r="F5" s="1" t="s">
        <v>3</v>
      </c>
      <c r="G5" s="2" t="s">
        <v>4</v>
      </c>
      <c r="H5" s="1" t="s">
        <v>5</v>
      </c>
      <c r="I5" s="3" t="s">
        <v>6</v>
      </c>
      <c r="J5" s="4" t="s">
        <v>7</v>
      </c>
    </row>
    <row r="6" spans="2:10">
      <c r="B6" s="9">
        <v>1</v>
      </c>
      <c r="C6" s="5" t="s">
        <v>281</v>
      </c>
      <c r="D6" s="6" t="s">
        <v>282</v>
      </c>
      <c r="E6" s="7">
        <f>ROUNDDOWN(F6,-3)</f>
        <v>4000</v>
      </c>
      <c r="F6" s="7">
        <f>G6/0.99</f>
        <v>4040.4040404040406</v>
      </c>
      <c r="G6" s="8">
        <v>4000</v>
      </c>
      <c r="H6" s="9">
        <v>44</v>
      </c>
      <c r="I6" s="7">
        <f>G6*H6</f>
        <v>176000</v>
      </c>
      <c r="J6" s="7">
        <f>H6*E6</f>
        <v>176000</v>
      </c>
    </row>
    <row r="7" spans="2:10">
      <c r="B7" s="9">
        <v>2</v>
      </c>
      <c r="C7" s="5" t="s">
        <v>283</v>
      </c>
      <c r="D7" s="6" t="s">
        <v>284</v>
      </c>
      <c r="E7" s="7">
        <f t="shared" ref="E7:E8" si="0">ROUNDDOWN(F7,-3)</f>
        <v>55000</v>
      </c>
      <c r="F7" s="7">
        <f t="shared" ref="F7:F8" si="1">G7/0.99</f>
        <v>55555.555555555555</v>
      </c>
      <c r="G7" s="8">
        <v>55000</v>
      </c>
      <c r="H7" s="9">
        <v>25</v>
      </c>
      <c r="I7" s="7">
        <f t="shared" ref="I7:I8" si="2">G7*H7</f>
        <v>1375000</v>
      </c>
      <c r="J7" s="7">
        <f t="shared" ref="J7:J8" si="3">H7*E7</f>
        <v>1375000</v>
      </c>
    </row>
    <row r="8" spans="2:10">
      <c r="B8" s="9">
        <v>3</v>
      </c>
      <c r="C8" s="5" t="s">
        <v>285</v>
      </c>
      <c r="D8" s="6" t="s">
        <v>284</v>
      </c>
      <c r="E8" s="7">
        <f t="shared" si="0"/>
        <v>60000</v>
      </c>
      <c r="F8" s="7">
        <f t="shared" si="1"/>
        <v>60606.060606060608</v>
      </c>
      <c r="G8" s="8">
        <v>60000</v>
      </c>
      <c r="H8" s="9">
        <v>25</v>
      </c>
      <c r="I8" s="7">
        <f t="shared" si="2"/>
        <v>1500000</v>
      </c>
      <c r="J8" s="7">
        <f t="shared" si="3"/>
        <v>1500000</v>
      </c>
    </row>
    <row r="9" spans="2:10">
      <c r="B9" s="9">
        <v>4</v>
      </c>
      <c r="C9" s="5" t="s">
        <v>286</v>
      </c>
      <c r="D9" s="6" t="s">
        <v>287</v>
      </c>
      <c r="E9" s="7">
        <f t="shared" ref="E9:E12" si="4">ROUNDDOWN(F9,-3)</f>
        <v>3000</v>
      </c>
      <c r="F9" s="7">
        <f t="shared" ref="F9:F12" si="5">G9/0.99</f>
        <v>3030.3030303030305</v>
      </c>
      <c r="G9" s="8">
        <v>3000</v>
      </c>
      <c r="H9" s="9">
        <v>23</v>
      </c>
      <c r="I9" s="7">
        <f t="shared" ref="I9:I12" si="6">G9*H9</f>
        <v>69000</v>
      </c>
      <c r="J9" s="7">
        <f t="shared" ref="J9:J12" si="7">H9*E9</f>
        <v>69000</v>
      </c>
    </row>
    <row r="10" spans="2:10">
      <c r="B10" s="9">
        <v>5</v>
      </c>
      <c r="C10" s="5" t="s">
        <v>288</v>
      </c>
      <c r="D10" s="6" t="s">
        <v>289</v>
      </c>
      <c r="E10" s="7">
        <f t="shared" si="4"/>
        <v>15000</v>
      </c>
      <c r="F10" s="7">
        <f t="shared" si="5"/>
        <v>15151.515151515152</v>
      </c>
      <c r="G10" s="8">
        <v>15000</v>
      </c>
      <c r="H10" s="9">
        <v>12</v>
      </c>
      <c r="I10" s="7">
        <f t="shared" si="6"/>
        <v>180000</v>
      </c>
      <c r="J10" s="7">
        <f t="shared" si="7"/>
        <v>180000</v>
      </c>
    </row>
    <row r="11" spans="2:10">
      <c r="B11" s="9">
        <v>6</v>
      </c>
      <c r="C11" s="5" t="s">
        <v>290</v>
      </c>
      <c r="D11" s="6" t="s">
        <v>287</v>
      </c>
      <c r="E11" s="7">
        <f t="shared" si="4"/>
        <v>56000</v>
      </c>
      <c r="F11" s="7">
        <f t="shared" si="5"/>
        <v>56565.656565656565</v>
      </c>
      <c r="G11" s="8">
        <v>56000</v>
      </c>
      <c r="H11" s="9">
        <v>30</v>
      </c>
      <c r="I11" s="7">
        <f t="shared" si="6"/>
        <v>1680000</v>
      </c>
      <c r="J11" s="7">
        <f t="shared" si="7"/>
        <v>1680000</v>
      </c>
    </row>
    <row r="12" spans="2:10">
      <c r="B12" s="9">
        <v>7</v>
      </c>
      <c r="C12" s="5" t="s">
        <v>291</v>
      </c>
      <c r="D12" s="6" t="s">
        <v>287</v>
      </c>
      <c r="E12" s="7">
        <f t="shared" si="4"/>
        <v>60000</v>
      </c>
      <c r="F12" s="7">
        <f t="shared" si="5"/>
        <v>60606.060606060608</v>
      </c>
      <c r="G12" s="8">
        <v>60000</v>
      </c>
      <c r="H12" s="9">
        <v>30</v>
      </c>
      <c r="I12" s="7">
        <f t="shared" si="6"/>
        <v>1800000</v>
      </c>
      <c r="J12" s="7">
        <f t="shared" si="7"/>
        <v>1800000</v>
      </c>
    </row>
    <row r="13" spans="2:10">
      <c r="B13" s="9">
        <v>8</v>
      </c>
      <c r="C13" s="5" t="s">
        <v>292</v>
      </c>
      <c r="D13" s="6" t="s">
        <v>287</v>
      </c>
      <c r="E13" s="7">
        <f t="shared" ref="E13:E16" si="8">ROUNDDOWN(F13,-3)</f>
        <v>48000</v>
      </c>
      <c r="F13" s="7">
        <f t="shared" ref="F13:F16" si="9">G13/0.99</f>
        <v>48484.848484848488</v>
      </c>
      <c r="G13" s="8">
        <v>48000</v>
      </c>
      <c r="H13" s="9">
        <v>10</v>
      </c>
      <c r="I13" s="7">
        <f t="shared" ref="I13:I16" si="10">G13*H13</f>
        <v>480000</v>
      </c>
      <c r="J13" s="7">
        <f t="shared" ref="J13:J16" si="11">H13*E13</f>
        <v>480000</v>
      </c>
    </row>
    <row r="14" spans="2:10">
      <c r="B14" s="9">
        <v>9</v>
      </c>
      <c r="C14" s="5" t="s">
        <v>293</v>
      </c>
      <c r="D14" s="6" t="s">
        <v>294</v>
      </c>
      <c r="E14" s="7">
        <f t="shared" si="8"/>
        <v>31000</v>
      </c>
      <c r="F14" s="7">
        <f t="shared" si="9"/>
        <v>31313.131313131315</v>
      </c>
      <c r="G14" s="8">
        <v>31000</v>
      </c>
      <c r="H14" s="9">
        <v>10</v>
      </c>
      <c r="I14" s="7">
        <f t="shared" si="10"/>
        <v>310000</v>
      </c>
      <c r="J14" s="7">
        <f t="shared" si="11"/>
        <v>310000</v>
      </c>
    </row>
    <row r="15" spans="2:10">
      <c r="B15" s="9">
        <v>10</v>
      </c>
      <c r="C15" s="5" t="s">
        <v>295</v>
      </c>
      <c r="D15" s="6" t="s">
        <v>294</v>
      </c>
      <c r="E15" s="7">
        <f t="shared" si="8"/>
        <v>25000</v>
      </c>
      <c r="F15" s="7">
        <f t="shared" si="9"/>
        <v>25252.525252525254</v>
      </c>
      <c r="G15" s="8">
        <v>25000</v>
      </c>
      <c r="H15" s="9">
        <v>10</v>
      </c>
      <c r="I15" s="7">
        <f t="shared" si="10"/>
        <v>250000</v>
      </c>
      <c r="J15" s="7">
        <f t="shared" si="11"/>
        <v>250000</v>
      </c>
    </row>
    <row r="16" spans="2:10">
      <c r="B16" s="9">
        <v>11</v>
      </c>
      <c r="C16" s="5" t="s">
        <v>296</v>
      </c>
      <c r="D16" s="6" t="s">
        <v>287</v>
      </c>
      <c r="E16" s="7">
        <f t="shared" si="8"/>
        <v>28000</v>
      </c>
      <c r="F16" s="7">
        <f t="shared" si="9"/>
        <v>28282.828282828283</v>
      </c>
      <c r="G16" s="8">
        <v>28000</v>
      </c>
      <c r="H16" s="9">
        <v>10</v>
      </c>
      <c r="I16" s="7">
        <f t="shared" si="10"/>
        <v>280000</v>
      </c>
      <c r="J16" s="7">
        <f t="shared" si="11"/>
        <v>280000</v>
      </c>
    </row>
    <row r="17" spans="2:10">
      <c r="B17" s="9">
        <v>12</v>
      </c>
      <c r="C17" s="5" t="s">
        <v>297</v>
      </c>
      <c r="D17" s="6" t="s">
        <v>282</v>
      </c>
      <c r="E17" s="7">
        <f t="shared" ref="E17:E33" si="12">ROUNDDOWN(F17,-3)</f>
        <v>40000</v>
      </c>
      <c r="F17" s="7">
        <f t="shared" ref="F17:F33" si="13">G17/0.99</f>
        <v>40404.040404040403</v>
      </c>
      <c r="G17" s="8">
        <v>40000</v>
      </c>
      <c r="H17" s="9">
        <v>10</v>
      </c>
      <c r="I17" s="7">
        <f t="shared" ref="I17:I33" si="14">G17*H17</f>
        <v>400000</v>
      </c>
      <c r="J17" s="7">
        <f t="shared" ref="J17:J32" si="15">H17*E17</f>
        <v>400000</v>
      </c>
    </row>
    <row r="18" spans="2:10">
      <c r="B18" s="9">
        <v>13</v>
      </c>
      <c r="C18" s="5" t="s">
        <v>298</v>
      </c>
      <c r="D18" s="6" t="s">
        <v>299</v>
      </c>
      <c r="E18" s="7">
        <f t="shared" si="12"/>
        <v>151000</v>
      </c>
      <c r="F18" s="7">
        <f t="shared" si="13"/>
        <v>151515.15151515152</v>
      </c>
      <c r="G18" s="8">
        <v>150000</v>
      </c>
      <c r="H18" s="9">
        <v>30</v>
      </c>
      <c r="I18" s="7">
        <f t="shared" si="14"/>
        <v>4500000</v>
      </c>
      <c r="J18" s="7">
        <f t="shared" si="15"/>
        <v>4530000</v>
      </c>
    </row>
    <row r="19" spans="2:10">
      <c r="B19" s="9">
        <v>14</v>
      </c>
      <c r="C19" s="5" t="s">
        <v>300</v>
      </c>
      <c r="D19" s="6" t="s">
        <v>282</v>
      </c>
      <c r="E19" s="7">
        <f t="shared" si="12"/>
        <v>151000</v>
      </c>
      <c r="F19" s="7">
        <f t="shared" si="13"/>
        <v>151515.15151515152</v>
      </c>
      <c r="G19" s="8">
        <v>150000</v>
      </c>
      <c r="H19" s="9">
        <v>10</v>
      </c>
      <c r="I19" s="7">
        <f t="shared" si="14"/>
        <v>1500000</v>
      </c>
      <c r="J19" s="7">
        <f t="shared" si="15"/>
        <v>1510000</v>
      </c>
    </row>
    <row r="20" spans="2:10">
      <c r="B20" s="9">
        <v>15</v>
      </c>
      <c r="C20" s="5" t="s">
        <v>301</v>
      </c>
      <c r="D20" s="6" t="s">
        <v>282</v>
      </c>
      <c r="E20" s="7">
        <f t="shared" si="12"/>
        <v>151000</v>
      </c>
      <c r="F20" s="7">
        <f t="shared" si="13"/>
        <v>151515.15151515152</v>
      </c>
      <c r="G20" s="8">
        <v>150000</v>
      </c>
      <c r="H20" s="9">
        <v>2</v>
      </c>
      <c r="I20" s="7">
        <f t="shared" si="14"/>
        <v>300000</v>
      </c>
      <c r="J20" s="7">
        <f t="shared" si="15"/>
        <v>302000</v>
      </c>
    </row>
    <row r="21" spans="2:10">
      <c r="B21" s="9">
        <v>16</v>
      </c>
      <c r="C21" s="5" t="s">
        <v>302</v>
      </c>
      <c r="D21" s="6" t="s">
        <v>282</v>
      </c>
      <c r="E21" s="7">
        <f t="shared" si="12"/>
        <v>25000</v>
      </c>
      <c r="F21" s="7">
        <f t="shared" si="13"/>
        <v>25252.525252525254</v>
      </c>
      <c r="G21" s="8">
        <v>25000</v>
      </c>
      <c r="H21" s="9">
        <v>2</v>
      </c>
      <c r="I21" s="7">
        <f t="shared" si="14"/>
        <v>50000</v>
      </c>
      <c r="J21" s="7">
        <f t="shared" si="15"/>
        <v>50000</v>
      </c>
    </row>
    <row r="22" spans="2:10">
      <c r="B22" s="9">
        <v>17</v>
      </c>
      <c r="C22" s="5" t="s">
        <v>303</v>
      </c>
      <c r="D22" s="6" t="s">
        <v>282</v>
      </c>
      <c r="E22" s="7">
        <f t="shared" si="12"/>
        <v>15000</v>
      </c>
      <c r="F22" s="7">
        <f t="shared" si="13"/>
        <v>15151.515151515152</v>
      </c>
      <c r="G22" s="8">
        <v>15000</v>
      </c>
      <c r="H22" s="9">
        <v>10</v>
      </c>
      <c r="I22" s="7">
        <f t="shared" si="14"/>
        <v>150000</v>
      </c>
      <c r="J22" s="7">
        <f t="shared" si="15"/>
        <v>150000</v>
      </c>
    </row>
    <row r="23" spans="2:10">
      <c r="B23" s="9">
        <v>18</v>
      </c>
      <c r="C23" s="5"/>
      <c r="D23" s="6"/>
      <c r="E23" s="7">
        <f t="shared" si="12"/>
        <v>0</v>
      </c>
      <c r="F23" s="7">
        <f t="shared" si="13"/>
        <v>0</v>
      </c>
      <c r="G23" s="8"/>
      <c r="H23" s="9"/>
      <c r="I23" s="7">
        <f t="shared" si="14"/>
        <v>0</v>
      </c>
      <c r="J23" s="7">
        <f t="shared" si="15"/>
        <v>0</v>
      </c>
    </row>
    <row r="24" spans="2:10">
      <c r="B24" s="9">
        <v>19</v>
      </c>
      <c r="C24" s="5"/>
      <c r="D24" s="6"/>
      <c r="E24" s="7">
        <f t="shared" si="12"/>
        <v>0</v>
      </c>
      <c r="F24" s="7">
        <f t="shared" si="13"/>
        <v>0</v>
      </c>
      <c r="G24" s="8"/>
      <c r="H24" s="9"/>
      <c r="I24" s="7">
        <f t="shared" si="14"/>
        <v>0</v>
      </c>
      <c r="J24" s="7">
        <f t="shared" si="15"/>
        <v>0</v>
      </c>
    </row>
    <row r="25" spans="2:10">
      <c r="B25" s="9">
        <v>20</v>
      </c>
      <c r="C25" s="5"/>
      <c r="D25" s="6"/>
      <c r="E25" s="7">
        <f t="shared" si="12"/>
        <v>0</v>
      </c>
      <c r="F25" s="7">
        <f t="shared" si="13"/>
        <v>0</v>
      </c>
      <c r="G25" s="8"/>
      <c r="H25" s="9"/>
      <c r="I25" s="7">
        <f t="shared" si="14"/>
        <v>0</v>
      </c>
      <c r="J25" s="7">
        <f t="shared" si="15"/>
        <v>0</v>
      </c>
    </row>
    <row r="26" spans="2:10">
      <c r="B26" s="9">
        <v>21</v>
      </c>
      <c r="C26" s="5"/>
      <c r="D26" s="6"/>
      <c r="E26" s="7">
        <f t="shared" si="12"/>
        <v>0</v>
      </c>
      <c r="F26" s="7">
        <f t="shared" si="13"/>
        <v>0</v>
      </c>
      <c r="G26" s="8"/>
      <c r="H26" s="9"/>
      <c r="I26" s="7">
        <f t="shared" si="14"/>
        <v>0</v>
      </c>
      <c r="J26" s="7">
        <f t="shared" si="15"/>
        <v>0</v>
      </c>
    </row>
    <row r="27" spans="2:10">
      <c r="B27" s="9">
        <v>22</v>
      </c>
      <c r="C27" s="5"/>
      <c r="D27" s="6"/>
      <c r="E27" s="7">
        <f t="shared" si="12"/>
        <v>0</v>
      </c>
      <c r="F27" s="7">
        <f t="shared" si="13"/>
        <v>0</v>
      </c>
      <c r="G27" s="8"/>
      <c r="H27" s="9"/>
      <c r="I27" s="7">
        <f t="shared" si="14"/>
        <v>0</v>
      </c>
      <c r="J27" s="7">
        <f t="shared" si="15"/>
        <v>0</v>
      </c>
    </row>
    <row r="28" spans="2:10">
      <c r="B28" s="9">
        <v>23</v>
      </c>
      <c r="C28" s="5"/>
      <c r="D28" s="6"/>
      <c r="E28" s="7">
        <f t="shared" si="12"/>
        <v>0</v>
      </c>
      <c r="F28" s="7">
        <f t="shared" si="13"/>
        <v>0</v>
      </c>
      <c r="G28" s="8"/>
      <c r="H28" s="9"/>
      <c r="I28" s="7">
        <f t="shared" si="14"/>
        <v>0</v>
      </c>
      <c r="J28" s="7">
        <f t="shared" si="15"/>
        <v>0</v>
      </c>
    </row>
    <row r="29" spans="2:10">
      <c r="B29" s="9">
        <v>24</v>
      </c>
      <c r="C29" s="5"/>
      <c r="D29" s="6"/>
      <c r="E29" s="7">
        <f t="shared" si="12"/>
        <v>0</v>
      </c>
      <c r="F29" s="7">
        <f t="shared" si="13"/>
        <v>0</v>
      </c>
      <c r="G29" s="8"/>
      <c r="H29" s="9"/>
      <c r="I29" s="7">
        <f t="shared" si="14"/>
        <v>0</v>
      </c>
      <c r="J29" s="7">
        <f t="shared" si="15"/>
        <v>0</v>
      </c>
    </row>
    <row r="30" spans="2:10">
      <c r="B30" s="9">
        <v>25</v>
      </c>
      <c r="C30" s="5"/>
      <c r="D30" s="6"/>
      <c r="E30" s="7">
        <f t="shared" si="12"/>
        <v>0</v>
      </c>
      <c r="F30" s="7">
        <f t="shared" si="13"/>
        <v>0</v>
      </c>
      <c r="G30" s="8"/>
      <c r="H30" s="9"/>
      <c r="I30" s="7">
        <f t="shared" si="14"/>
        <v>0</v>
      </c>
      <c r="J30" s="7">
        <f t="shared" si="15"/>
        <v>0</v>
      </c>
    </row>
    <row r="31" spans="2:10">
      <c r="B31" s="9">
        <v>26</v>
      </c>
      <c r="C31" s="5"/>
      <c r="D31" s="6"/>
      <c r="E31" s="7">
        <f t="shared" si="12"/>
        <v>0</v>
      </c>
      <c r="F31" s="7">
        <f t="shared" si="13"/>
        <v>0</v>
      </c>
      <c r="G31" s="8"/>
      <c r="H31" s="9"/>
      <c r="I31" s="7">
        <f t="shared" si="14"/>
        <v>0</v>
      </c>
      <c r="J31" s="7">
        <f t="shared" si="15"/>
        <v>0</v>
      </c>
    </row>
    <row r="32" spans="2:10">
      <c r="B32" s="9">
        <v>27</v>
      </c>
      <c r="C32" s="5"/>
      <c r="D32" s="6"/>
      <c r="E32" s="7">
        <f t="shared" si="12"/>
        <v>0</v>
      </c>
      <c r="F32" s="7">
        <f t="shared" si="13"/>
        <v>0</v>
      </c>
      <c r="G32" s="8"/>
      <c r="H32" s="9"/>
      <c r="I32" s="7">
        <f t="shared" si="14"/>
        <v>0</v>
      </c>
      <c r="J32" s="7">
        <f t="shared" si="15"/>
        <v>0</v>
      </c>
    </row>
    <row r="33" spans="2:10">
      <c r="B33" s="9">
        <v>28</v>
      </c>
      <c r="C33" s="5"/>
      <c r="D33" s="6"/>
      <c r="E33" s="7">
        <f t="shared" si="12"/>
        <v>0</v>
      </c>
      <c r="F33" s="7">
        <f t="shared" si="13"/>
        <v>0</v>
      </c>
      <c r="G33" s="8"/>
      <c r="H33" s="9"/>
      <c r="I33" s="7">
        <f t="shared" si="14"/>
        <v>0</v>
      </c>
      <c r="J33" s="7">
        <f>H33*E33</f>
        <v>0</v>
      </c>
    </row>
    <row r="34" spans="2:10">
      <c r="B34" s="9">
        <v>29</v>
      </c>
      <c r="C34" s="5"/>
      <c r="D34" s="6"/>
      <c r="E34" s="7">
        <f t="shared" ref="E34" si="16">ROUNDDOWN(F34,-3)</f>
        <v>0</v>
      </c>
      <c r="F34" s="7">
        <f t="shared" ref="F34" si="17">G34/0.99</f>
        <v>0</v>
      </c>
      <c r="G34" s="8"/>
      <c r="H34" s="9"/>
      <c r="I34" s="7">
        <f t="shared" ref="I34" si="18">G34*H34</f>
        <v>0</v>
      </c>
      <c r="J34" s="7">
        <f>H34*E34</f>
        <v>0</v>
      </c>
    </row>
    <row r="35" spans="2:10">
      <c r="B35" s="327" t="s">
        <v>8</v>
      </c>
      <c r="C35" s="327"/>
      <c r="D35" s="327"/>
      <c r="E35" s="10">
        <f t="shared" ref="E35:G35" si="19">SUM(E6:E8)</f>
        <v>119000</v>
      </c>
      <c r="F35" s="10">
        <f t="shared" si="19"/>
        <v>120202.02020202021</v>
      </c>
      <c r="G35" s="10">
        <f t="shared" si="19"/>
        <v>119000</v>
      </c>
      <c r="H35" s="11">
        <f>SUM(H6:H12)</f>
        <v>189</v>
      </c>
      <c r="I35" s="10">
        <f>SUM(I6:I34)</f>
        <v>15000000</v>
      </c>
      <c r="J35" s="10">
        <f>SUM(J6:J34)</f>
        <v>15042000</v>
      </c>
    </row>
    <row r="36" spans="2:10">
      <c r="E36" s="12" t="s">
        <v>9</v>
      </c>
      <c r="G36" s="13">
        <v>1</v>
      </c>
      <c r="H36" s="14">
        <f>(I35*100/111)*11%</f>
        <v>1486486.4864864864</v>
      </c>
      <c r="I36" s="7">
        <f>G36*H36</f>
        <v>1486486.4864864864</v>
      </c>
      <c r="J36" s="14"/>
    </row>
    <row r="37" spans="2:10">
      <c r="E37" s="12" t="s">
        <v>10</v>
      </c>
      <c r="G37" s="13">
        <v>0</v>
      </c>
      <c r="H37" s="14">
        <f>(I35-H36)*1.5%</f>
        <v>202702.70270270269</v>
      </c>
      <c r="I37" s="7">
        <f>G37*H37</f>
        <v>0</v>
      </c>
    </row>
    <row r="38" spans="2:10">
      <c r="E38" s="12" t="s">
        <v>11</v>
      </c>
      <c r="G38" s="13">
        <v>0</v>
      </c>
      <c r="H38" s="14">
        <f>I35*2%</f>
        <v>300000</v>
      </c>
      <c r="I38" s="7">
        <f>G38*H38</f>
        <v>0</v>
      </c>
    </row>
    <row r="39" spans="2:10">
      <c r="E39" s="12" t="s">
        <v>12</v>
      </c>
      <c r="I39" s="7">
        <f>I35-I36-I37-I38</f>
        <v>13513513.513513513</v>
      </c>
    </row>
    <row r="45" spans="2:10">
      <c r="B45" s="15"/>
      <c r="C45" s="15"/>
      <c r="E45" s="16" t="s">
        <v>13</v>
      </c>
    </row>
    <row r="46" spans="2:10">
      <c r="E46" s="16" t="s">
        <v>14</v>
      </c>
    </row>
    <row r="48" spans="2:10">
      <c r="B48" s="17"/>
      <c r="C48" s="17"/>
      <c r="E48" s="16" t="s">
        <v>15</v>
      </c>
    </row>
  </sheetData>
  <mergeCells count="1">
    <mergeCell ref="B35:D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EE38-F291-443D-BF15-1819F8696B5B}">
  <dimension ref="A2:L81"/>
  <sheetViews>
    <sheetView topLeftCell="A7" zoomScale="91" zoomScaleNormal="91" workbookViewId="0">
      <selection activeCell="C25" sqref="C25"/>
    </sheetView>
  </sheetViews>
  <sheetFormatPr defaultRowHeight="15"/>
  <cols>
    <col min="1" max="1" width="5.5703125" customWidth="1"/>
    <col min="2" max="2" width="62.28515625" bestFit="1" customWidth="1"/>
    <col min="3" max="3" width="121" bestFit="1" customWidth="1"/>
    <col min="4" max="4" width="37" bestFit="1" customWidth="1"/>
    <col min="5" max="5" width="21.85546875" customWidth="1"/>
    <col min="6" max="6" width="15.85546875" customWidth="1"/>
    <col min="7" max="7" width="12.42578125" bestFit="1" customWidth="1"/>
    <col min="8" max="8" width="18.140625" bestFit="1" customWidth="1"/>
    <col min="9" max="9" width="10.28515625" bestFit="1" customWidth="1"/>
    <col min="10" max="10" width="9.5703125" bestFit="1" customWidth="1"/>
    <col min="11" max="11" width="29.28515625" bestFit="1" customWidth="1"/>
    <col min="12" max="12" width="9.85546875" bestFit="1" customWidth="1"/>
  </cols>
  <sheetData>
    <row r="2" spans="1:12" ht="15.75">
      <c r="A2" s="18" t="s">
        <v>16</v>
      </c>
      <c r="B2" s="19" t="s">
        <v>17</v>
      </c>
      <c r="C2" s="20"/>
      <c r="D2" s="21"/>
      <c r="E2" s="20"/>
      <c r="F2" s="20"/>
      <c r="G2" s="20"/>
      <c r="H2" s="20"/>
      <c r="I2" s="20"/>
      <c r="J2" s="20"/>
      <c r="K2" s="20"/>
      <c r="L2" s="20"/>
    </row>
    <row r="3" spans="1:12" ht="15.75">
      <c r="A3" s="331" t="s">
        <v>0</v>
      </c>
      <c r="B3" s="328" t="s">
        <v>18</v>
      </c>
      <c r="C3" s="328" t="s">
        <v>19</v>
      </c>
      <c r="D3" s="329" t="s">
        <v>20</v>
      </c>
      <c r="E3" s="22" t="s">
        <v>21</v>
      </c>
      <c r="F3" s="22" t="s">
        <v>22</v>
      </c>
      <c r="G3" s="22" t="s">
        <v>23</v>
      </c>
      <c r="H3" s="22" t="s">
        <v>23</v>
      </c>
      <c r="I3" s="22" t="s">
        <v>24</v>
      </c>
      <c r="J3" s="22" t="s">
        <v>25</v>
      </c>
      <c r="K3" s="22" t="s">
        <v>25</v>
      </c>
      <c r="L3" s="328" t="s">
        <v>26</v>
      </c>
    </row>
    <row r="4" spans="1:12" ht="15.75">
      <c r="A4" s="331"/>
      <c r="B4" s="328"/>
      <c r="C4" s="328"/>
      <c r="D4" s="330"/>
      <c r="E4" s="23" t="s">
        <v>23</v>
      </c>
      <c r="F4" s="23" t="s">
        <v>27</v>
      </c>
      <c r="G4" s="23" t="s">
        <v>21</v>
      </c>
      <c r="H4" s="23" t="s">
        <v>27</v>
      </c>
      <c r="I4" s="23" t="s">
        <v>27</v>
      </c>
      <c r="J4" s="23" t="s">
        <v>21</v>
      </c>
      <c r="K4" s="23" t="s">
        <v>27</v>
      </c>
      <c r="L4" s="328"/>
    </row>
    <row r="5" spans="1:12" ht="15.75">
      <c r="A5" s="24">
        <v>1</v>
      </c>
      <c r="B5" s="25" t="s">
        <v>28</v>
      </c>
      <c r="C5" s="26" t="s">
        <v>305</v>
      </c>
      <c r="D5" s="311">
        <f>D6</f>
        <v>46053</v>
      </c>
      <c r="E5" s="27" t="s">
        <v>306</v>
      </c>
      <c r="F5" s="28" t="str">
        <f>TEXT(D5, "[$-id]dddd")</f>
        <v>Sabtu</v>
      </c>
      <c r="G5" s="29">
        <f t="shared" ref="G5:G9" si="0">DAY(D5)</f>
        <v>31</v>
      </c>
      <c r="H5" s="28" t="e">
        <f ca="1">PROPER([1]!terbilang(G5))</f>
        <v>#NAME?</v>
      </c>
      <c r="I5" s="28" t="str">
        <f>TEXT(D5,"[$-id]mmmm")</f>
        <v>Januari</v>
      </c>
      <c r="J5" s="29" t="str">
        <f t="shared" ref="J5:J11" si="1">TEXT(D5,"yyyy")</f>
        <v>2026</v>
      </c>
      <c r="K5" s="28" t="e">
        <f ca="1">PROPER([1]!terbilang(J5))</f>
        <v>#NAME?</v>
      </c>
      <c r="L5" s="30"/>
    </row>
    <row r="6" spans="1:12" ht="15.75">
      <c r="A6" s="24">
        <v>2</v>
      </c>
      <c r="B6" s="25" t="s">
        <v>29</v>
      </c>
      <c r="C6" s="26" t="s">
        <v>305</v>
      </c>
      <c r="D6" s="312">
        <f>D7-2</f>
        <v>46053</v>
      </c>
      <c r="E6" s="27" t="s">
        <v>306</v>
      </c>
      <c r="F6" s="28" t="str">
        <f t="shared" ref="F6:F11" si="2">TEXT(D6, "[$-id]dddd")</f>
        <v>Sabtu</v>
      </c>
      <c r="G6" s="29">
        <f t="shared" si="0"/>
        <v>31</v>
      </c>
      <c r="H6" s="28" t="e">
        <f ca="1">PROPER([1]!terbilang(G6))</f>
        <v>#NAME?</v>
      </c>
      <c r="I6" s="28" t="str">
        <f t="shared" ref="I6:I11" si="3">TEXT(D6,"[$-id]mmmm")</f>
        <v>Januari</v>
      </c>
      <c r="J6" s="29" t="str">
        <f t="shared" si="1"/>
        <v>2026</v>
      </c>
      <c r="K6" s="28" t="e">
        <f ca="1">PROPER([1]!terbilang(J6))</f>
        <v>#NAME?</v>
      </c>
      <c r="L6" s="25"/>
    </row>
    <row r="7" spans="1:12" ht="15.75">
      <c r="A7" s="24">
        <v>3</v>
      </c>
      <c r="B7" s="25" t="s">
        <v>30</v>
      </c>
      <c r="C7" s="26" t="s">
        <v>305</v>
      </c>
      <c r="D7" s="312">
        <f>D8-1</f>
        <v>46055</v>
      </c>
      <c r="E7" s="27" t="s">
        <v>307</v>
      </c>
      <c r="F7" s="28" t="str">
        <f t="shared" si="2"/>
        <v>Senin</v>
      </c>
      <c r="G7" s="29">
        <f t="shared" si="0"/>
        <v>2</v>
      </c>
      <c r="H7" s="28" t="e">
        <f ca="1">PROPER([1]!terbilang(G7))</f>
        <v>#NAME?</v>
      </c>
      <c r="I7" s="28" t="str">
        <f t="shared" si="3"/>
        <v>Februari</v>
      </c>
      <c r="J7" s="29" t="str">
        <f t="shared" si="1"/>
        <v>2026</v>
      </c>
      <c r="K7" s="28" t="e">
        <f ca="1">PROPER([1]!terbilang(J7))</f>
        <v>#NAME?</v>
      </c>
      <c r="L7" s="25"/>
    </row>
    <row r="8" spans="1:12" ht="15.75">
      <c r="A8" s="24">
        <v>4</v>
      </c>
      <c r="B8" s="25" t="s">
        <v>31</v>
      </c>
      <c r="C8" s="26" t="s">
        <v>305</v>
      </c>
      <c r="D8" s="313">
        <f>D9</f>
        <v>46056</v>
      </c>
      <c r="E8" s="27" t="s">
        <v>308</v>
      </c>
      <c r="F8" s="28" t="str">
        <f t="shared" si="2"/>
        <v>Selasa</v>
      </c>
      <c r="G8" s="32">
        <f t="shared" si="0"/>
        <v>3</v>
      </c>
      <c r="H8" s="28" t="e">
        <f ca="1">PROPER([1]!terbilang(G8))</f>
        <v>#NAME?</v>
      </c>
      <c r="I8" s="28" t="str">
        <f>TEXT(D8,"[$-id]mmmm")</f>
        <v>Februari</v>
      </c>
      <c r="J8" s="29" t="str">
        <f t="shared" si="1"/>
        <v>2026</v>
      </c>
      <c r="K8" s="28" t="e">
        <f ca="1">PROPER([1]!terbilang(J8))</f>
        <v>#NAME?</v>
      </c>
      <c r="L8" s="25"/>
    </row>
    <row r="9" spans="1:12" ht="15.75">
      <c r="A9" s="24">
        <v>5</v>
      </c>
      <c r="B9" s="25" t="s">
        <v>32</v>
      </c>
      <c r="C9" s="26" t="s">
        <v>305</v>
      </c>
      <c r="D9" s="313">
        <f>D10-0</f>
        <v>46056</v>
      </c>
      <c r="E9" s="27" t="s">
        <v>308</v>
      </c>
      <c r="F9" s="28" t="str">
        <f t="shared" si="2"/>
        <v>Selasa</v>
      </c>
      <c r="G9" s="32">
        <f t="shared" si="0"/>
        <v>3</v>
      </c>
      <c r="H9" s="28" t="e">
        <f ca="1">PROPER([1]!terbilang(G9))</f>
        <v>#NAME?</v>
      </c>
      <c r="I9" s="28" t="str">
        <f t="shared" si="3"/>
        <v>Februari</v>
      </c>
      <c r="J9" s="29" t="str">
        <f t="shared" si="1"/>
        <v>2026</v>
      </c>
      <c r="K9" s="28" t="e">
        <f ca="1">PROPER([1]!terbilang(J9))</f>
        <v>#NAME?</v>
      </c>
      <c r="L9" s="25"/>
    </row>
    <row r="10" spans="1:12" ht="15.75">
      <c r="A10" s="24">
        <v>6</v>
      </c>
      <c r="B10" s="25" t="s">
        <v>33</v>
      </c>
      <c r="C10" s="31" t="s">
        <v>322</v>
      </c>
      <c r="D10" s="313">
        <f>D11-2</f>
        <v>46056</v>
      </c>
      <c r="E10" s="27" t="s">
        <v>308</v>
      </c>
      <c r="F10" s="28" t="str">
        <f t="shared" si="2"/>
        <v>Selasa</v>
      </c>
      <c r="G10" s="32">
        <f>DAY(D10)</f>
        <v>3</v>
      </c>
      <c r="H10" s="28" t="e">
        <f ca="1">PROPER([1]!terbilang(G10))</f>
        <v>#NAME?</v>
      </c>
      <c r="I10" s="28" t="str">
        <f t="shared" si="3"/>
        <v>Februari</v>
      </c>
      <c r="J10" s="29" t="str">
        <f t="shared" si="1"/>
        <v>2026</v>
      </c>
      <c r="K10" s="28" t="e">
        <f ca="1">PROPER([1]!terbilang(J10))</f>
        <v>#NAME?</v>
      </c>
      <c r="L10" s="25"/>
    </row>
    <row r="11" spans="1:12" ht="18">
      <c r="A11" s="24">
        <v>7</v>
      </c>
      <c r="B11" s="25" t="s">
        <v>34</v>
      </c>
      <c r="C11" s="31" t="s">
        <v>323</v>
      </c>
      <c r="D11" s="314">
        <v>46058</v>
      </c>
      <c r="E11" s="27" t="s">
        <v>309</v>
      </c>
      <c r="F11" s="28" t="str">
        <f t="shared" si="2"/>
        <v>Kamis</v>
      </c>
      <c r="G11" s="32">
        <f>DAY(D11)</f>
        <v>5</v>
      </c>
      <c r="H11" s="28" t="e">
        <f ca="1">PROPER([1]!terbilang(G11))</f>
        <v>#NAME?</v>
      </c>
      <c r="I11" s="28" t="str">
        <f t="shared" si="3"/>
        <v>Februari</v>
      </c>
      <c r="J11" s="29" t="str">
        <f t="shared" si="1"/>
        <v>2026</v>
      </c>
      <c r="K11" s="28" t="e">
        <f ca="1">PROPER([1]!terbilang(J11))</f>
        <v>#NAME?</v>
      </c>
      <c r="L11" s="25"/>
    </row>
    <row r="12" spans="1:12">
      <c r="A12" s="33"/>
      <c r="B12" s="34"/>
      <c r="C12" s="35" t="s">
        <v>35</v>
      </c>
      <c r="D12" s="315"/>
      <c r="E12" s="37"/>
      <c r="F12" s="35"/>
      <c r="G12" s="34"/>
      <c r="H12" s="34"/>
      <c r="I12" s="34"/>
      <c r="J12" s="34"/>
      <c r="K12" s="34"/>
      <c r="L12" s="34"/>
    </row>
    <row r="13" spans="1:12" ht="15.75">
      <c r="A13" s="18" t="s">
        <v>36</v>
      </c>
      <c r="B13" s="19" t="s">
        <v>37</v>
      </c>
      <c r="C13" s="34"/>
      <c r="D13" s="315"/>
      <c r="E13" s="34"/>
      <c r="F13" s="34"/>
      <c r="G13" s="34"/>
      <c r="H13" s="34"/>
      <c r="I13" s="34"/>
      <c r="J13" s="34"/>
      <c r="K13" s="34"/>
      <c r="L13" s="38"/>
    </row>
    <row r="14" spans="1:12" ht="15.75">
      <c r="A14" s="39" t="s">
        <v>38</v>
      </c>
      <c r="B14" s="40" t="s">
        <v>39</v>
      </c>
      <c r="C14" s="41" t="s">
        <v>40</v>
      </c>
      <c r="D14" s="42"/>
      <c r="E14" s="43"/>
      <c r="F14" s="43"/>
      <c r="G14" s="43"/>
      <c r="H14" s="43"/>
      <c r="I14" s="43"/>
      <c r="J14" s="43"/>
      <c r="K14" s="43"/>
      <c r="L14" s="44"/>
    </row>
    <row r="15" spans="1:12" ht="15.75">
      <c r="A15" s="45">
        <v>1</v>
      </c>
      <c r="B15" s="46" t="s">
        <v>41</v>
      </c>
      <c r="C15" s="47" t="s">
        <v>42</v>
      </c>
      <c r="D15" s="36"/>
      <c r="E15" s="34"/>
      <c r="F15" s="34"/>
      <c r="G15" s="34"/>
      <c r="H15" s="34"/>
      <c r="I15" s="34"/>
      <c r="J15" s="34"/>
      <c r="K15" s="34"/>
      <c r="L15" s="44"/>
    </row>
    <row r="16" spans="1:12" ht="15.75">
      <c r="A16" s="45">
        <v>2</v>
      </c>
      <c r="B16" s="46" t="s">
        <v>43</v>
      </c>
      <c r="C16" s="48" t="s">
        <v>266</v>
      </c>
      <c r="D16" s="36"/>
      <c r="E16" s="34"/>
      <c r="F16" s="34"/>
      <c r="G16" s="34"/>
      <c r="H16" s="34"/>
      <c r="I16" s="34"/>
      <c r="J16" s="34"/>
      <c r="K16" s="34"/>
      <c r="L16" s="44"/>
    </row>
    <row r="17" spans="1:12" ht="15.75">
      <c r="A17" s="45">
        <v>3</v>
      </c>
      <c r="B17" s="46" t="s">
        <v>44</v>
      </c>
      <c r="C17" s="49" t="s">
        <v>270</v>
      </c>
      <c r="D17" s="36"/>
      <c r="E17" s="34"/>
      <c r="F17" s="34"/>
      <c r="G17" s="34"/>
      <c r="H17" s="34"/>
      <c r="I17" s="34"/>
      <c r="J17" s="34"/>
      <c r="K17" s="34"/>
      <c r="L17" s="44"/>
    </row>
    <row r="18" spans="1:12" ht="15.75">
      <c r="A18" s="45">
        <v>4</v>
      </c>
      <c r="B18" s="46" t="s">
        <v>45</v>
      </c>
      <c r="C18" s="50" t="s">
        <v>271</v>
      </c>
      <c r="D18" s="36"/>
      <c r="E18" s="34"/>
      <c r="F18" s="34"/>
      <c r="G18" s="34"/>
      <c r="H18" s="34"/>
      <c r="I18" s="34"/>
      <c r="J18" s="34"/>
      <c r="K18" s="34"/>
      <c r="L18" s="44"/>
    </row>
    <row r="19" spans="1:12" ht="15.75">
      <c r="A19" s="45">
        <v>5</v>
      </c>
      <c r="B19" s="46" t="s">
        <v>46</v>
      </c>
      <c r="C19" s="51" t="s">
        <v>272</v>
      </c>
      <c r="D19" s="52"/>
      <c r="E19" s="53"/>
      <c r="F19" s="53"/>
      <c r="G19" s="53"/>
      <c r="H19" s="53"/>
      <c r="I19" s="34"/>
      <c r="J19" s="34"/>
      <c r="K19" s="34"/>
      <c r="L19" s="44"/>
    </row>
    <row r="20" spans="1:12" ht="15.75">
      <c r="A20" s="45"/>
      <c r="B20" s="46"/>
      <c r="C20" s="54" t="s">
        <v>273</v>
      </c>
      <c r="D20" s="52" t="s">
        <v>269</v>
      </c>
      <c r="E20" s="53"/>
      <c r="F20" s="53"/>
      <c r="G20" s="53"/>
      <c r="H20" s="53"/>
      <c r="I20" s="34"/>
      <c r="J20" s="34"/>
      <c r="K20" s="34"/>
      <c r="L20" s="44"/>
    </row>
    <row r="21" spans="1:12" ht="15.75">
      <c r="A21" s="55"/>
      <c r="B21" s="56" t="s">
        <v>47</v>
      </c>
      <c r="C21" s="302" t="s">
        <v>272</v>
      </c>
      <c r="D21" s="52"/>
      <c r="E21" s="53"/>
      <c r="F21" s="53"/>
      <c r="G21" s="53"/>
      <c r="H21" s="53"/>
      <c r="I21" s="34"/>
      <c r="J21" s="34"/>
      <c r="K21" s="34"/>
      <c r="L21" s="44"/>
    </row>
    <row r="22" spans="1:12" ht="15.75">
      <c r="A22" s="20"/>
      <c r="B22" s="56" t="s">
        <v>47</v>
      </c>
      <c r="C22" s="35" t="s">
        <v>274</v>
      </c>
      <c r="D22" s="36"/>
      <c r="E22" s="34"/>
      <c r="F22" s="34"/>
      <c r="G22" s="34"/>
      <c r="H22" s="34"/>
      <c r="I22" s="34"/>
      <c r="J22" s="34"/>
      <c r="K22" s="34"/>
      <c r="L22" s="57"/>
    </row>
    <row r="23" spans="1:12" ht="15.75">
      <c r="A23" s="18" t="s">
        <v>48</v>
      </c>
      <c r="B23" s="19" t="s">
        <v>49</v>
      </c>
      <c r="C23" s="33" t="s">
        <v>272</v>
      </c>
      <c r="D23" s="58"/>
      <c r="E23" s="33"/>
      <c r="F23" s="33"/>
      <c r="G23" s="33"/>
      <c r="H23" s="33"/>
      <c r="I23" s="33"/>
      <c r="J23" s="33"/>
      <c r="K23" s="33"/>
      <c r="L23" s="57"/>
    </row>
    <row r="24" spans="1:12" ht="15.75">
      <c r="A24" s="59" t="s">
        <v>38</v>
      </c>
      <c r="B24" s="60" t="s">
        <v>39</v>
      </c>
      <c r="C24" s="61" t="s">
        <v>40</v>
      </c>
      <c r="D24" s="62"/>
      <c r="E24" s="63"/>
      <c r="F24" s="63"/>
      <c r="G24" s="63"/>
      <c r="H24" s="63"/>
      <c r="I24" s="33"/>
      <c r="J24" s="33"/>
      <c r="K24" s="33"/>
      <c r="L24" s="57"/>
    </row>
    <row r="25" spans="1:12" ht="15.75">
      <c r="A25" s="64">
        <v>1</v>
      </c>
      <c r="B25" s="65" t="s">
        <v>50</v>
      </c>
      <c r="C25" s="65" t="s">
        <v>326</v>
      </c>
      <c r="D25" s="62"/>
      <c r="E25" s="63"/>
      <c r="F25" s="63"/>
      <c r="G25" s="63"/>
      <c r="H25" s="63"/>
      <c r="I25" s="33"/>
      <c r="J25" s="33"/>
      <c r="K25" s="33"/>
      <c r="L25" s="57"/>
    </row>
    <row r="26" spans="1:12" ht="15.75">
      <c r="A26" s="64">
        <v>2</v>
      </c>
      <c r="B26" s="65" t="s">
        <v>50</v>
      </c>
      <c r="C26" s="65" t="s">
        <v>324</v>
      </c>
      <c r="D26" s="36"/>
      <c r="E26" s="34"/>
      <c r="F26" s="34"/>
      <c r="G26" s="34"/>
      <c r="H26" s="34"/>
      <c r="I26" s="33"/>
      <c r="J26" s="33"/>
      <c r="K26" s="33"/>
      <c r="L26" s="57"/>
    </row>
    <row r="27" spans="1:12" ht="15.75">
      <c r="A27" s="64">
        <v>3</v>
      </c>
      <c r="B27" s="65" t="s">
        <v>52</v>
      </c>
      <c r="C27" s="66" t="s">
        <v>325</v>
      </c>
      <c r="D27" s="37"/>
      <c r="E27" s="34"/>
      <c r="F27" s="34"/>
      <c r="G27" s="34"/>
      <c r="H27" s="34"/>
      <c r="I27" s="33"/>
      <c r="J27" s="33"/>
      <c r="K27" s="33"/>
      <c r="L27" s="57"/>
    </row>
    <row r="28" spans="1:12" ht="15.75">
      <c r="A28" s="67"/>
      <c r="B28" s="34"/>
      <c r="C28" s="68"/>
      <c r="D28" s="36"/>
      <c r="E28" s="34"/>
      <c r="F28" s="34"/>
      <c r="G28" s="34"/>
      <c r="H28" s="34"/>
      <c r="I28" s="33"/>
      <c r="J28" s="33"/>
      <c r="K28" s="33"/>
      <c r="L28" s="34"/>
    </row>
    <row r="29" spans="1:12" ht="15.75">
      <c r="A29" s="18" t="s">
        <v>53</v>
      </c>
      <c r="B29" s="19" t="s">
        <v>54</v>
      </c>
      <c r="C29" s="34"/>
      <c r="D29" s="36"/>
      <c r="E29" s="34"/>
      <c r="F29" s="34"/>
      <c r="G29" s="34"/>
      <c r="H29" s="34"/>
      <c r="I29" s="34"/>
      <c r="J29" s="34"/>
      <c r="K29" s="34"/>
      <c r="L29" s="44"/>
    </row>
    <row r="30" spans="1:12" ht="15.75">
      <c r="A30" s="69" t="s">
        <v>38</v>
      </c>
      <c r="B30" s="70" t="s">
        <v>39</v>
      </c>
      <c r="C30" s="70" t="s">
        <v>40</v>
      </c>
      <c r="D30" s="71"/>
      <c r="E30" s="63"/>
      <c r="F30" s="63"/>
      <c r="G30" s="63"/>
      <c r="H30" s="63"/>
      <c r="I30" s="63"/>
      <c r="J30" s="63"/>
      <c r="K30" s="63"/>
      <c r="L30" s="53"/>
    </row>
    <row r="31" spans="1:12" ht="15.75">
      <c r="A31" s="72">
        <v>1</v>
      </c>
      <c r="B31" s="73" t="s">
        <v>50</v>
      </c>
      <c r="C31" s="74" t="s">
        <v>55</v>
      </c>
      <c r="D31" s="75"/>
      <c r="E31" s="63"/>
      <c r="F31" s="63"/>
      <c r="G31" s="63"/>
      <c r="H31" s="63"/>
      <c r="I31" s="63"/>
      <c r="J31" s="63"/>
      <c r="K31" s="63"/>
      <c r="L31" s="34"/>
    </row>
    <row r="32" spans="1:12" ht="15.75">
      <c r="A32" s="72">
        <v>3</v>
      </c>
      <c r="B32" s="73" t="s">
        <v>56</v>
      </c>
      <c r="C32" s="74" t="s">
        <v>275</v>
      </c>
      <c r="D32" s="75"/>
      <c r="E32" s="34"/>
      <c r="F32" s="34"/>
      <c r="G32" s="34"/>
      <c r="H32" s="34"/>
      <c r="I32" s="34"/>
      <c r="J32" s="34"/>
      <c r="K32" s="34"/>
      <c r="L32" s="33"/>
    </row>
    <row r="33" spans="1:12" ht="15.75">
      <c r="A33" s="72">
        <v>4</v>
      </c>
      <c r="B33" s="74" t="s">
        <v>57</v>
      </c>
      <c r="C33" s="74" t="s">
        <v>276</v>
      </c>
      <c r="D33" s="36"/>
      <c r="E33" s="34"/>
      <c r="F33" s="34"/>
      <c r="G33" s="34"/>
      <c r="H33" s="34"/>
      <c r="I33" s="34"/>
      <c r="J33" s="34"/>
      <c r="K33" s="34"/>
      <c r="L33" s="33"/>
    </row>
    <row r="34" spans="1:12" ht="15.75">
      <c r="A34" s="67"/>
      <c r="B34" s="34"/>
      <c r="C34" s="68"/>
      <c r="D34" s="36"/>
      <c r="E34" s="34"/>
      <c r="F34" s="34"/>
      <c r="G34" s="34"/>
      <c r="H34" s="34"/>
      <c r="I34" s="33"/>
      <c r="J34" s="33"/>
      <c r="K34" s="33"/>
      <c r="L34" s="57"/>
    </row>
    <row r="35" spans="1:12" ht="15.75">
      <c r="A35" s="18" t="s">
        <v>58</v>
      </c>
      <c r="B35" s="19" t="s">
        <v>59</v>
      </c>
      <c r="C35" s="34"/>
      <c r="D35" s="36"/>
      <c r="E35" s="34"/>
      <c r="F35" s="34"/>
      <c r="G35" s="34"/>
      <c r="H35" s="34"/>
      <c r="I35" s="34"/>
      <c r="J35" s="34"/>
      <c r="K35" s="34"/>
      <c r="L35" s="63"/>
    </row>
    <row r="36" spans="1:12" ht="15.75">
      <c r="A36" s="76" t="s">
        <v>38</v>
      </c>
      <c r="B36" s="77" t="s">
        <v>60</v>
      </c>
      <c r="C36" s="78" t="s">
        <v>40</v>
      </c>
      <c r="D36" s="42"/>
      <c r="E36" s="43"/>
      <c r="F36" s="63"/>
      <c r="G36" s="63"/>
      <c r="H36" s="63"/>
      <c r="I36" s="63"/>
      <c r="J36" s="63"/>
      <c r="K36" s="63"/>
      <c r="L36" s="63"/>
    </row>
    <row r="37" spans="1:12" ht="15.75">
      <c r="A37" s="79">
        <v>1</v>
      </c>
      <c r="B37" s="80" t="s">
        <v>61</v>
      </c>
      <c r="C37" s="81" t="str">
        <f>"Bendaraha "&amp;C50&amp;""</f>
        <v>Bendaraha BOSP</v>
      </c>
      <c r="D37" s="42"/>
      <c r="E37" s="43"/>
      <c r="F37" s="63"/>
      <c r="G37" s="63"/>
      <c r="H37" s="63"/>
      <c r="I37" s="63"/>
      <c r="J37" s="63"/>
      <c r="K37" s="63"/>
      <c r="L37" s="63"/>
    </row>
    <row r="38" spans="1:12" ht="15.75">
      <c r="A38" s="79">
        <v>2</v>
      </c>
      <c r="B38" s="80" t="s">
        <v>62</v>
      </c>
      <c r="C38" s="80" t="s">
        <v>280</v>
      </c>
      <c r="D38" s="42"/>
      <c r="E38" s="43"/>
      <c r="F38" s="63"/>
      <c r="G38" s="63"/>
      <c r="H38" s="63"/>
      <c r="I38" s="63"/>
      <c r="J38" s="63"/>
      <c r="K38" s="63"/>
      <c r="L38" s="34"/>
    </row>
    <row r="39" spans="1:12" ht="15.75">
      <c r="A39" s="79">
        <v>3</v>
      </c>
      <c r="B39" s="80" t="s">
        <v>63</v>
      </c>
      <c r="C39" s="82">
        <f>'In Produk'!J35</f>
        <v>15042000</v>
      </c>
      <c r="D39" s="36"/>
      <c r="E39" s="34"/>
      <c r="F39" s="34"/>
      <c r="G39" s="34"/>
      <c r="H39" s="34"/>
      <c r="I39" s="34"/>
      <c r="J39" s="34"/>
      <c r="K39" s="34"/>
      <c r="L39" s="34"/>
    </row>
    <row r="40" spans="1:12" ht="15.75">
      <c r="A40" s="79">
        <v>4</v>
      </c>
      <c r="B40" s="80" t="s">
        <v>64</v>
      </c>
      <c r="C40" s="80" t="e">
        <f ca="1">PROPER([1]!terbilang(C39)&amp;" Rupiah"&amp;"")</f>
        <v>#NAME?</v>
      </c>
      <c r="D40" s="36"/>
      <c r="E40" s="34"/>
      <c r="F40" s="34"/>
      <c r="G40" s="34"/>
      <c r="H40" s="34"/>
      <c r="I40" s="34"/>
      <c r="J40" s="34"/>
      <c r="K40" s="34"/>
      <c r="L40" s="34"/>
    </row>
    <row r="41" spans="1:12" ht="15.75">
      <c r="A41" s="79">
        <v>5</v>
      </c>
      <c r="B41" s="80" t="s">
        <v>65</v>
      </c>
      <c r="C41" s="83">
        <f>'In Produk'!I35</f>
        <v>15000000</v>
      </c>
      <c r="D41" s="36"/>
      <c r="E41" s="34"/>
      <c r="F41" s="34"/>
      <c r="G41" s="34"/>
      <c r="H41" s="34"/>
      <c r="I41" s="34"/>
      <c r="J41" s="34"/>
      <c r="K41" s="34"/>
      <c r="L41" s="34"/>
    </row>
    <row r="42" spans="1:12" ht="15.75">
      <c r="A42" s="79">
        <v>6</v>
      </c>
      <c r="B42" s="80" t="s">
        <v>66</v>
      </c>
      <c r="C42" s="81" t="e">
        <f ca="1">PROPER([1]!terbilang(C41)&amp;" Rupiah")</f>
        <v>#NAME?</v>
      </c>
      <c r="D42" s="36"/>
      <c r="E42" s="34"/>
      <c r="F42" s="34"/>
      <c r="G42" s="34"/>
      <c r="H42" s="34"/>
      <c r="I42" s="34"/>
      <c r="J42" s="34"/>
      <c r="K42" s="34"/>
      <c r="L42" s="34"/>
    </row>
    <row r="43" spans="1:12" ht="15.75">
      <c r="A43" s="79"/>
      <c r="B43" s="80" t="s">
        <v>267</v>
      </c>
      <c r="C43" s="81" t="s">
        <v>304</v>
      </c>
      <c r="D43" s="36"/>
      <c r="E43" s="34"/>
      <c r="F43" s="34"/>
      <c r="G43" s="34"/>
      <c r="H43" s="34"/>
      <c r="I43" s="34"/>
      <c r="J43" s="34"/>
      <c r="K43" s="34"/>
      <c r="L43" s="34"/>
    </row>
    <row r="44" spans="1:12" ht="15.75">
      <c r="A44" s="79"/>
      <c r="B44" s="80" t="s">
        <v>268</v>
      </c>
      <c r="C44" s="81" t="e">
        <f ca="1">C42</f>
        <v>#NAME?</v>
      </c>
      <c r="D44" s="36"/>
      <c r="E44" s="34"/>
      <c r="F44" s="34"/>
      <c r="G44" s="34"/>
      <c r="H44" s="34"/>
      <c r="I44" s="34"/>
      <c r="J44" s="34"/>
      <c r="K44" s="34"/>
      <c r="L44" s="34"/>
    </row>
    <row r="45" spans="1:12" ht="15.75">
      <c r="A45" s="79">
        <v>7</v>
      </c>
      <c r="B45" s="80" t="s">
        <v>67</v>
      </c>
      <c r="C45" s="84" t="str">
        <f>E7</f>
        <v>02 Februari 2026</v>
      </c>
      <c r="D45" s="37"/>
      <c r="E45" s="34"/>
      <c r="F45" s="34"/>
      <c r="G45" s="34"/>
      <c r="H45" s="34"/>
      <c r="I45" s="34"/>
      <c r="J45" s="34"/>
      <c r="K45" s="34"/>
      <c r="L45" s="34"/>
    </row>
    <row r="46" spans="1:12" ht="15.75">
      <c r="A46" s="79">
        <v>8</v>
      </c>
      <c r="B46" s="80" t="s">
        <v>68</v>
      </c>
      <c r="C46" s="84" t="str">
        <f>E9</f>
        <v>03 Februari 2026</v>
      </c>
      <c r="D46" s="37"/>
      <c r="E46" s="34"/>
      <c r="F46" s="34"/>
      <c r="G46" s="34"/>
      <c r="H46" s="34"/>
      <c r="I46" s="34"/>
      <c r="J46" s="34"/>
      <c r="K46" s="34"/>
      <c r="L46" s="34"/>
    </row>
    <row r="47" spans="1:12" ht="15.75">
      <c r="A47" s="79">
        <v>9</v>
      </c>
      <c r="B47" s="80" t="s">
        <v>69</v>
      </c>
      <c r="C47" s="80" t="e">
        <f>C46-C45</f>
        <v>#VALUE!</v>
      </c>
      <c r="D47" s="36"/>
      <c r="E47" s="34"/>
      <c r="F47" s="34"/>
      <c r="G47" s="34"/>
      <c r="H47" s="34"/>
      <c r="I47" s="34"/>
      <c r="J47" s="34"/>
      <c r="K47" s="34"/>
      <c r="L47" s="34"/>
    </row>
    <row r="48" spans="1:12" ht="18">
      <c r="A48" s="79">
        <v>10</v>
      </c>
      <c r="B48" s="80" t="s">
        <v>70</v>
      </c>
      <c r="C48" s="85" t="s">
        <v>277</v>
      </c>
      <c r="D48" s="36"/>
      <c r="E48" s="34"/>
      <c r="F48" s="34"/>
      <c r="G48" s="34"/>
      <c r="H48" s="34"/>
      <c r="I48" s="34"/>
      <c r="J48" s="34"/>
      <c r="K48" s="34"/>
      <c r="L48" s="34"/>
    </row>
    <row r="49" spans="1:12" ht="15.75">
      <c r="A49" s="79">
        <v>11</v>
      </c>
      <c r="B49" s="80" t="s">
        <v>71</v>
      </c>
      <c r="C49" s="80">
        <v>2026</v>
      </c>
      <c r="D49" s="36"/>
      <c r="E49" s="34"/>
      <c r="F49" s="34"/>
      <c r="G49" s="34"/>
      <c r="H49" s="34"/>
      <c r="I49" s="34"/>
      <c r="J49" s="34"/>
      <c r="K49" s="34"/>
      <c r="L49" s="34"/>
    </row>
    <row r="50" spans="1:12" ht="15.75">
      <c r="A50" s="79">
        <v>12</v>
      </c>
      <c r="B50" s="80" t="s">
        <v>72</v>
      </c>
      <c r="C50" s="80" t="s">
        <v>279</v>
      </c>
      <c r="D50" s="36"/>
      <c r="E50" s="34"/>
      <c r="F50" s="34"/>
      <c r="G50" s="34"/>
      <c r="H50" s="34"/>
      <c r="I50" s="34"/>
      <c r="J50" s="34"/>
      <c r="K50" s="34"/>
      <c r="L50" s="34"/>
    </row>
    <row r="51" spans="1:12" ht="15.75">
      <c r="A51" s="67"/>
      <c r="B51" s="34"/>
      <c r="C51" s="34"/>
      <c r="D51" s="36"/>
      <c r="E51" s="34"/>
      <c r="F51" s="34"/>
      <c r="G51" s="34"/>
      <c r="H51" s="34"/>
      <c r="I51" s="34"/>
      <c r="J51" s="34"/>
      <c r="K51" s="34"/>
      <c r="L51" s="57"/>
    </row>
    <row r="52" spans="1:12" ht="15.75">
      <c r="A52" s="18" t="s">
        <v>73</v>
      </c>
      <c r="B52" s="19" t="s">
        <v>74</v>
      </c>
      <c r="C52" s="33"/>
      <c r="D52" s="58"/>
      <c r="E52" s="33"/>
      <c r="F52" s="33"/>
      <c r="G52" s="33"/>
      <c r="H52" s="33"/>
      <c r="I52" s="33"/>
      <c r="J52" s="33"/>
      <c r="K52" s="33"/>
      <c r="L52" s="33"/>
    </row>
    <row r="53" spans="1:12" ht="15.75">
      <c r="A53" s="69" t="s">
        <v>38</v>
      </c>
      <c r="B53" s="70" t="s">
        <v>75</v>
      </c>
      <c r="C53" s="86" t="s">
        <v>40</v>
      </c>
      <c r="D53" s="62"/>
      <c r="E53" s="33"/>
      <c r="F53" s="33"/>
      <c r="G53" s="33"/>
      <c r="H53" s="33"/>
      <c r="I53" s="33"/>
      <c r="J53" s="33"/>
      <c r="K53" s="33"/>
      <c r="L53" s="33"/>
    </row>
    <row r="54" spans="1:12" ht="15.75">
      <c r="A54" s="20"/>
      <c r="B54" s="25" t="s">
        <v>76</v>
      </c>
      <c r="C54" s="25" t="s">
        <v>311</v>
      </c>
      <c r="D54" s="58"/>
      <c r="E54" s="33"/>
      <c r="F54" s="33"/>
      <c r="G54" s="33"/>
      <c r="H54" s="33"/>
      <c r="I54" s="33"/>
      <c r="J54" s="33"/>
      <c r="K54" s="33"/>
      <c r="L54" s="33"/>
    </row>
    <row r="55" spans="1:12" ht="15.75">
      <c r="A55" s="20"/>
      <c r="B55" s="25" t="s">
        <v>77</v>
      </c>
      <c r="C55" s="87" t="s">
        <v>312</v>
      </c>
      <c r="D55" s="58"/>
      <c r="E55" s="33"/>
      <c r="F55" s="33"/>
      <c r="G55" s="33"/>
      <c r="H55" s="33"/>
      <c r="I55" s="33"/>
      <c r="J55" s="33"/>
      <c r="K55" s="33"/>
      <c r="L55" s="33"/>
    </row>
    <row r="56" spans="1:12" ht="15.75">
      <c r="A56" s="20"/>
      <c r="B56" s="25" t="s">
        <v>78</v>
      </c>
      <c r="C56" s="25" t="s">
        <v>313</v>
      </c>
      <c r="D56" s="58"/>
      <c r="E56" s="33"/>
      <c r="F56" s="33"/>
      <c r="G56" s="33"/>
      <c r="H56" s="33"/>
      <c r="I56" s="33"/>
      <c r="J56" s="33"/>
      <c r="K56" s="33"/>
      <c r="L56" s="33"/>
    </row>
    <row r="57" spans="1:12" ht="15.75">
      <c r="A57" s="20"/>
      <c r="B57" s="25" t="s">
        <v>79</v>
      </c>
      <c r="C57" s="89">
        <v>0.9</v>
      </c>
      <c r="D57" s="58"/>
      <c r="E57" s="33"/>
      <c r="F57" s="33"/>
      <c r="G57" s="33"/>
      <c r="H57" s="33"/>
      <c r="I57" s="33"/>
      <c r="J57" s="33"/>
      <c r="K57" s="33"/>
      <c r="L57" s="33"/>
    </row>
    <row r="58" spans="1:12" ht="15.75">
      <c r="A58" s="20"/>
      <c r="B58" s="25" t="s">
        <v>80</v>
      </c>
      <c r="C58" s="25" t="s">
        <v>81</v>
      </c>
      <c r="D58" s="58"/>
      <c r="E58" s="33"/>
      <c r="F58" s="33"/>
      <c r="G58" s="33"/>
      <c r="H58" s="33"/>
      <c r="I58" s="33"/>
      <c r="J58" s="33"/>
      <c r="K58" s="33"/>
      <c r="L58" s="33"/>
    </row>
    <row r="59" spans="1:12" ht="15.75">
      <c r="A59" s="20"/>
      <c r="B59" s="25" t="s">
        <v>82</v>
      </c>
      <c r="C59" s="87" t="s">
        <v>276</v>
      </c>
      <c r="D59" s="58"/>
      <c r="E59" s="33"/>
      <c r="F59" s="33"/>
      <c r="G59" s="33"/>
      <c r="H59" s="33"/>
      <c r="I59" s="33"/>
      <c r="J59" s="33"/>
      <c r="K59" s="33"/>
      <c r="L59" s="33"/>
    </row>
    <row r="60" spans="1:12" ht="15.75">
      <c r="A60" s="20"/>
      <c r="B60" s="25" t="s">
        <v>83</v>
      </c>
      <c r="C60" s="88" t="s">
        <v>314</v>
      </c>
      <c r="D60" s="58"/>
      <c r="E60" s="33"/>
      <c r="F60" s="33"/>
      <c r="G60" s="33"/>
      <c r="H60" s="33"/>
      <c r="I60" s="33"/>
      <c r="J60" s="33"/>
      <c r="K60" s="33"/>
      <c r="L60" s="33"/>
    </row>
    <row r="61" spans="1:12" ht="15.75">
      <c r="A61" s="20"/>
      <c r="B61" s="25" t="s">
        <v>84</v>
      </c>
      <c r="C61" s="87" t="s">
        <v>315</v>
      </c>
      <c r="D61" s="58"/>
      <c r="E61" s="33"/>
      <c r="F61" s="33"/>
      <c r="G61" s="33"/>
      <c r="H61" s="33"/>
      <c r="I61" s="33"/>
      <c r="J61" s="33"/>
      <c r="K61" s="33"/>
      <c r="L61" s="33"/>
    </row>
    <row r="62" spans="1:12" ht="15.75">
      <c r="A62" s="20"/>
      <c r="B62" s="25" t="s">
        <v>85</v>
      </c>
      <c r="C62" s="88" t="s">
        <v>316</v>
      </c>
      <c r="D62" s="58"/>
      <c r="E62" s="33"/>
      <c r="F62" s="33"/>
      <c r="G62" s="33"/>
      <c r="H62" s="33"/>
      <c r="I62" s="33"/>
      <c r="J62" s="33"/>
      <c r="K62" s="33"/>
      <c r="L62" s="33"/>
    </row>
    <row r="63" spans="1:12" ht="15.75">
      <c r="A63" s="20"/>
      <c r="B63" s="25" t="s">
        <v>86</v>
      </c>
      <c r="C63" s="25" t="s">
        <v>276</v>
      </c>
      <c r="D63" s="58"/>
      <c r="E63" s="33"/>
      <c r="F63" s="33"/>
      <c r="G63" s="33"/>
      <c r="H63" s="33"/>
      <c r="I63" s="33"/>
      <c r="J63" s="33"/>
      <c r="K63" s="33"/>
      <c r="L63" s="33"/>
    </row>
    <row r="64" spans="1:12" ht="15.75">
      <c r="A64" s="20"/>
      <c r="B64" s="25" t="s">
        <v>79</v>
      </c>
      <c r="C64" s="89" t="s">
        <v>276</v>
      </c>
      <c r="D64" s="58"/>
      <c r="E64" s="33"/>
      <c r="F64" s="33"/>
      <c r="G64" s="33"/>
      <c r="H64" s="33"/>
      <c r="I64" s="33"/>
      <c r="J64" s="33"/>
      <c r="K64" s="33"/>
      <c r="L64" s="33"/>
    </row>
    <row r="65" spans="1:12" ht="15.75">
      <c r="A65" s="20"/>
      <c r="B65" s="25" t="s">
        <v>80</v>
      </c>
      <c r="C65" s="25" t="s">
        <v>276</v>
      </c>
      <c r="D65" s="58"/>
      <c r="E65" s="33"/>
      <c r="F65" s="33"/>
      <c r="G65" s="33"/>
      <c r="H65" s="33"/>
      <c r="I65" s="33"/>
      <c r="J65" s="33"/>
      <c r="K65" s="33"/>
      <c r="L65" s="33"/>
    </row>
    <row r="66" spans="1:12" ht="15.75">
      <c r="A66" s="20"/>
      <c r="B66" s="25" t="s">
        <v>87</v>
      </c>
      <c r="C66" s="305" t="s">
        <v>276</v>
      </c>
      <c r="D66" s="58"/>
      <c r="E66" s="33"/>
      <c r="F66" s="33"/>
      <c r="G66" s="33"/>
      <c r="H66" s="33"/>
      <c r="I66" s="33"/>
      <c r="J66" s="33"/>
      <c r="K66" s="33"/>
      <c r="L66" s="33"/>
    </row>
    <row r="67" spans="1:12" ht="15.75">
      <c r="A67" s="20"/>
      <c r="B67" s="25" t="s">
        <v>88</v>
      </c>
      <c r="C67" s="88" t="s">
        <v>276</v>
      </c>
      <c r="D67" s="58"/>
      <c r="E67" s="33"/>
      <c r="F67" s="33"/>
      <c r="G67" s="33"/>
      <c r="H67" s="33"/>
      <c r="I67" s="33"/>
      <c r="J67" s="33"/>
      <c r="K67" s="33"/>
      <c r="L67" s="33"/>
    </row>
    <row r="68" spans="1:12" ht="15.75">
      <c r="A68" s="20"/>
      <c r="B68" s="25" t="s">
        <v>89</v>
      </c>
      <c r="C68" s="25" t="s">
        <v>317</v>
      </c>
      <c r="D68" s="58"/>
      <c r="E68" s="33"/>
      <c r="F68" s="33"/>
      <c r="G68" s="33"/>
      <c r="H68" s="33"/>
      <c r="I68" s="33"/>
      <c r="J68" s="33"/>
      <c r="K68" s="33"/>
      <c r="L68" s="33"/>
    </row>
    <row r="69" spans="1:12" ht="15.75">
      <c r="A69" s="20"/>
      <c r="B69" s="25" t="s">
        <v>90</v>
      </c>
      <c r="C69" s="25" t="s">
        <v>313</v>
      </c>
      <c r="D69" s="58"/>
      <c r="E69" s="33"/>
      <c r="F69" s="33"/>
      <c r="G69" s="33"/>
      <c r="H69" s="33"/>
      <c r="I69" s="33"/>
      <c r="J69" s="33"/>
      <c r="K69" s="33"/>
      <c r="L69" s="33"/>
    </row>
    <row r="70" spans="1:12" ht="15.75">
      <c r="A70" s="20"/>
      <c r="B70" s="25" t="s">
        <v>91</v>
      </c>
      <c r="C70" s="87" t="s">
        <v>318</v>
      </c>
      <c r="D70" s="58"/>
      <c r="E70" s="33"/>
      <c r="F70" s="33"/>
      <c r="G70" s="33"/>
      <c r="H70" s="33"/>
      <c r="I70" s="33"/>
      <c r="J70" s="33"/>
      <c r="K70" s="33"/>
      <c r="L70" s="33"/>
    </row>
    <row r="71" spans="1:12" ht="15.75">
      <c r="A71" s="20"/>
      <c r="B71" s="25" t="s">
        <v>92</v>
      </c>
      <c r="C71" s="90" t="s">
        <v>319</v>
      </c>
      <c r="D71" s="58"/>
      <c r="E71" s="33"/>
      <c r="F71" s="33"/>
      <c r="G71" s="33"/>
      <c r="H71" s="33"/>
      <c r="I71" s="33"/>
      <c r="J71" s="33"/>
      <c r="K71" s="33"/>
      <c r="L71" s="33"/>
    </row>
    <row r="72" spans="1:12" ht="15.75">
      <c r="A72" s="20"/>
      <c r="B72" s="25" t="s">
        <v>93</v>
      </c>
      <c r="C72" s="25" t="s">
        <v>276</v>
      </c>
      <c r="D72" s="58"/>
      <c r="E72" s="33"/>
      <c r="F72" s="33"/>
      <c r="G72" s="33"/>
      <c r="H72" s="33"/>
      <c r="I72" s="33"/>
      <c r="J72" s="33"/>
      <c r="K72" s="33"/>
      <c r="L72" s="33"/>
    </row>
    <row r="73" spans="1:12" ht="15.75">
      <c r="A73" s="20"/>
      <c r="B73" s="25" t="s">
        <v>94</v>
      </c>
      <c r="C73" s="91" t="s">
        <v>276</v>
      </c>
      <c r="D73" s="58"/>
      <c r="E73" s="33"/>
      <c r="F73" s="33"/>
      <c r="G73" s="33"/>
      <c r="H73" s="33"/>
      <c r="I73" s="33"/>
      <c r="J73" s="33"/>
      <c r="K73" s="33"/>
      <c r="L73" s="33"/>
    </row>
    <row r="74" spans="1:12" ht="15.75">
      <c r="A74" s="20"/>
      <c r="B74" s="25" t="s">
        <v>95</v>
      </c>
      <c r="C74" s="25" t="s">
        <v>276</v>
      </c>
      <c r="D74" s="58"/>
      <c r="E74" s="33"/>
      <c r="F74" s="33"/>
      <c r="G74" s="33"/>
      <c r="H74" s="33"/>
      <c r="I74" s="33"/>
      <c r="J74" s="33"/>
      <c r="K74" s="33"/>
      <c r="L74" s="33"/>
    </row>
    <row r="75" spans="1:12" ht="15.75">
      <c r="A75" s="20"/>
      <c r="B75" s="25" t="s">
        <v>96</v>
      </c>
      <c r="C75" s="25" t="s">
        <v>276</v>
      </c>
      <c r="D75" s="58"/>
      <c r="E75" s="33"/>
      <c r="F75" s="33"/>
      <c r="G75" s="33"/>
      <c r="H75" s="33"/>
      <c r="I75" s="33"/>
      <c r="J75" s="33"/>
      <c r="K75" s="33"/>
      <c r="L75" s="33"/>
    </row>
    <row r="76" spans="1:12" ht="15.75">
      <c r="A76" s="20"/>
      <c r="B76" s="25" t="s">
        <v>97</v>
      </c>
      <c r="C76" s="92" t="s">
        <v>276</v>
      </c>
      <c r="D76" s="58"/>
      <c r="E76" s="33"/>
      <c r="F76" s="33"/>
      <c r="G76" s="33"/>
      <c r="H76" s="33"/>
      <c r="I76" s="33"/>
      <c r="J76" s="33"/>
      <c r="K76" s="33"/>
      <c r="L76" s="33"/>
    </row>
    <row r="77" spans="1:12" ht="15.75">
      <c r="A77" s="20"/>
      <c r="B77" s="25" t="s">
        <v>95</v>
      </c>
      <c r="C77" s="25" t="s">
        <v>276</v>
      </c>
      <c r="D77" s="58"/>
      <c r="E77" s="33"/>
      <c r="F77" s="33"/>
      <c r="G77" s="33"/>
      <c r="H77" s="33"/>
      <c r="I77" s="33"/>
      <c r="J77" s="33"/>
      <c r="K77" s="33"/>
      <c r="L77" s="33"/>
    </row>
    <row r="78" spans="1:12" ht="15.75">
      <c r="A78" s="20"/>
      <c r="B78" s="25" t="s">
        <v>98</v>
      </c>
      <c r="C78" s="25" t="s">
        <v>276</v>
      </c>
      <c r="D78" s="58"/>
      <c r="E78" s="33"/>
      <c r="F78" s="33"/>
      <c r="G78" s="33"/>
      <c r="H78" s="33"/>
      <c r="I78" s="33"/>
      <c r="J78" s="33"/>
      <c r="K78" s="33"/>
      <c r="L78" s="33"/>
    </row>
    <row r="79" spans="1:12" ht="15.75">
      <c r="A79" s="20"/>
      <c r="B79" s="25" t="s">
        <v>99</v>
      </c>
      <c r="C79" s="91" t="s">
        <v>320</v>
      </c>
      <c r="D79" s="58"/>
      <c r="E79" s="33"/>
      <c r="F79" s="33"/>
      <c r="G79" s="33"/>
      <c r="H79" s="33"/>
      <c r="I79" s="33"/>
      <c r="J79" s="33"/>
      <c r="K79" s="33"/>
      <c r="L79" s="33"/>
    </row>
    <row r="80" spans="1:12" ht="15.75">
      <c r="A80" s="20"/>
      <c r="B80" s="25" t="s">
        <v>100</v>
      </c>
      <c r="C80" s="25" t="s">
        <v>310</v>
      </c>
      <c r="D80" s="58"/>
      <c r="E80" s="33"/>
      <c r="F80" s="33"/>
      <c r="G80" s="33"/>
      <c r="H80" s="33"/>
      <c r="I80" s="33"/>
      <c r="J80" s="33"/>
      <c r="K80" s="33"/>
      <c r="L80" s="33"/>
    </row>
    <row r="81" spans="1:12" ht="15.75">
      <c r="A81" s="20"/>
      <c r="B81" s="25" t="s">
        <v>101</v>
      </c>
      <c r="C81" s="25" t="s">
        <v>321</v>
      </c>
      <c r="D81" s="58"/>
      <c r="E81" s="33"/>
      <c r="F81" s="33"/>
      <c r="G81" s="33"/>
      <c r="H81" s="33"/>
      <c r="I81" s="33"/>
      <c r="J81" s="33"/>
      <c r="K81" s="33"/>
      <c r="L81" s="33"/>
    </row>
  </sheetData>
  <mergeCells count="5">
    <mergeCell ref="B3:B4"/>
    <mergeCell ref="C3:C4"/>
    <mergeCell ref="D3:D4"/>
    <mergeCell ref="A3:A4"/>
    <mergeCell ref="L3:L4"/>
  </mergeCells>
  <phoneticPr fontId="36" type="noConversion"/>
  <hyperlinks>
    <hyperlink ref="C71" r:id="rId1" display="cv.alfatih9@gmail.com" xr:uid="{F5E48DFF-0FEA-475C-8EBA-CF037255D955}"/>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4285-1796-4154-8736-D3049F25F85A}">
  <sheetPr>
    <pageSetUpPr fitToPage="1"/>
  </sheetPr>
  <dimension ref="C2:G42"/>
  <sheetViews>
    <sheetView showGridLines="0" zoomScaleNormal="100" workbookViewId="0">
      <selection activeCell="J14" sqref="J14"/>
    </sheetView>
  </sheetViews>
  <sheetFormatPr defaultRowHeight="15"/>
  <cols>
    <col min="3" max="3" width="5.5703125" customWidth="1"/>
    <col min="4" max="4" width="39.42578125" customWidth="1"/>
    <col min="5" max="5" width="2.28515625" customWidth="1"/>
    <col min="6" max="6" width="5.140625" customWidth="1"/>
    <col min="7" max="7" width="62.140625" customWidth="1"/>
  </cols>
  <sheetData>
    <row r="2" spans="3:7" ht="15.75">
      <c r="C2" s="93"/>
      <c r="D2" s="93"/>
      <c r="E2" s="93"/>
      <c r="F2" s="93"/>
      <c r="G2" s="93"/>
    </row>
    <row r="3" spans="3:7" ht="15.75">
      <c r="C3" s="333" t="str">
        <f>'In Data'!C15</f>
        <v>PEMERINTAH DAERAH PROVINSI JAWA BARAT</v>
      </c>
      <c r="D3" s="333"/>
      <c r="E3" s="333"/>
      <c r="F3" s="333"/>
      <c r="G3" s="333"/>
    </row>
    <row r="4" spans="3:7" ht="15.75">
      <c r="C4" s="333" t="str">
        <f>'In Data'!C16</f>
        <v>DINAS PENDIDIKAN</v>
      </c>
      <c r="D4" s="333"/>
      <c r="E4" s="333"/>
      <c r="F4" s="333"/>
      <c r="G4" s="333"/>
    </row>
    <row r="5" spans="3:7" ht="15.75">
      <c r="C5" s="333" t="str">
        <f>'In Data'!C17</f>
        <v>CABANG DINAS PENDIDIKAN WILAYAH VI</v>
      </c>
      <c r="D5" s="333"/>
      <c r="E5" s="333"/>
      <c r="F5" s="333"/>
      <c r="G5" s="333"/>
    </row>
    <row r="6" spans="3:7" ht="18.75">
      <c r="C6" s="334" t="str">
        <f>'In Data'!C18</f>
        <v xml:space="preserve">SMA NEGERI 1 PAGELARAN </v>
      </c>
      <c r="D6" s="334"/>
      <c r="E6" s="334"/>
      <c r="F6" s="334"/>
      <c r="G6" s="334"/>
    </row>
    <row r="7" spans="3:7" ht="15.75">
      <c r="C7" s="335" t="str">
        <f>'In Data'!C20</f>
        <v>Tlp.(0263) 236150  e-mail : smanpagelaran@gmail.com</v>
      </c>
      <c r="D7" s="335"/>
      <c r="E7" s="335"/>
      <c r="F7" s="335"/>
      <c r="G7" s="335"/>
    </row>
    <row r="8" spans="3:7" ht="16.5" thickBot="1">
      <c r="C8" s="332" t="str">
        <f>'In Data'!C21</f>
        <v>Jalan Raya Pagelaran Kp. Cibeureum Desa Sindangkerta Rt. 06/Rw. 07  Pagelaran – Cianjur 43266</v>
      </c>
      <c r="D8" s="332"/>
      <c r="E8" s="332"/>
      <c r="F8" s="332"/>
      <c r="G8" s="332"/>
    </row>
    <row r="9" spans="3:7" ht="16.5" thickTop="1">
      <c r="C9" s="93"/>
      <c r="D9" s="93"/>
      <c r="E9" s="93"/>
      <c r="F9" s="93"/>
      <c r="G9" s="93"/>
    </row>
    <row r="10" spans="3:7" ht="15.75">
      <c r="C10" s="337" t="s">
        <v>28</v>
      </c>
      <c r="D10" s="337"/>
      <c r="E10" s="337"/>
      <c r="F10" s="337"/>
      <c r="G10" s="337"/>
    </row>
    <row r="11" spans="3:7" ht="15.75">
      <c r="C11" s="338" t="str">
        <f>'In Data'!C5</f>
        <v>900/......../SMAN.01/CADISDIKWIL.VI/......./2026</v>
      </c>
      <c r="D11" s="338"/>
      <c r="E11" s="338"/>
      <c r="F11" s="338"/>
      <c r="G11" s="338"/>
    </row>
    <row r="12" spans="3:7" ht="15.75">
      <c r="C12" s="93"/>
      <c r="D12" s="93"/>
      <c r="E12" s="93"/>
      <c r="F12" s="93"/>
      <c r="G12" s="93"/>
    </row>
    <row r="13" spans="3:7" ht="15.75">
      <c r="C13" s="93" t="s">
        <v>44</v>
      </c>
      <c r="D13" s="93"/>
      <c r="E13" s="93" t="s">
        <v>102</v>
      </c>
      <c r="F13" s="93" t="str">
        <f>'In Data'!C18</f>
        <v xml:space="preserve">SMA NEGERI 1 PAGELARAN </v>
      </c>
      <c r="G13" s="93"/>
    </row>
    <row r="14" spans="3:7" ht="33" customHeight="1">
      <c r="C14" s="94" t="s">
        <v>45</v>
      </c>
      <c r="D14" s="94"/>
      <c r="E14" s="94" t="s">
        <v>102</v>
      </c>
      <c r="F14" s="339" t="str">
        <f>'In Data'!C23</f>
        <v>Jalan Raya Pagelaran Kp. Cibeureum Desa Sindangkerta Rt. 06/Rw. 07  Pagelaran – Cianjur 43266</v>
      </c>
      <c r="G14" s="339"/>
    </row>
    <row r="15" spans="3:7" ht="15.75">
      <c r="C15" s="93" t="s">
        <v>62</v>
      </c>
      <c r="D15" s="93"/>
      <c r="E15" s="93" t="s">
        <v>102</v>
      </c>
      <c r="F15" s="93" t="str">
        <f>'In Data'!C38</f>
        <v>Belanja Alat Tulis Kantor</v>
      </c>
      <c r="G15" s="93"/>
    </row>
    <row r="16" spans="3:7" ht="15.75">
      <c r="C16" s="93"/>
      <c r="D16" s="93"/>
      <c r="E16" s="93"/>
      <c r="F16" s="93"/>
      <c r="G16" s="93"/>
    </row>
    <row r="17" spans="3:7" ht="15.75">
      <c r="C17" s="95" t="s">
        <v>0</v>
      </c>
      <c r="D17" s="340" t="s">
        <v>103</v>
      </c>
      <c r="E17" s="340"/>
      <c r="F17" s="340"/>
      <c r="G17" s="95" t="s">
        <v>104</v>
      </c>
    </row>
    <row r="18" spans="3:7" ht="15.75">
      <c r="C18" s="96">
        <v>1</v>
      </c>
      <c r="D18" s="341" t="s">
        <v>105</v>
      </c>
      <c r="E18" s="341"/>
      <c r="F18" s="341"/>
      <c r="G18" s="97">
        <f>'In Produk'!H35</f>
        <v>189</v>
      </c>
    </row>
    <row r="19" spans="3:7" ht="15.75">
      <c r="C19" s="96">
        <v>2</v>
      </c>
      <c r="D19" s="341" t="s">
        <v>106</v>
      </c>
      <c r="E19" s="341"/>
      <c r="F19" s="341"/>
      <c r="G19" s="98">
        <f>'In Data'!C41</f>
        <v>15000000</v>
      </c>
    </row>
    <row r="20" spans="3:7" ht="15.75">
      <c r="C20" s="96">
        <v>3</v>
      </c>
      <c r="D20" s="341" t="s">
        <v>67</v>
      </c>
      <c r="E20" s="341"/>
      <c r="F20" s="341"/>
      <c r="G20" s="97" t="str">
        <f>'In Data'!C45</f>
        <v>02 Februari 2026</v>
      </c>
    </row>
    <row r="21" spans="3:7" ht="15.75">
      <c r="C21" s="96">
        <v>4</v>
      </c>
      <c r="D21" s="341" t="s">
        <v>68</v>
      </c>
      <c r="E21" s="341"/>
      <c r="F21" s="341"/>
      <c r="G21" s="97" t="str">
        <f>'In Data'!C46</f>
        <v>03 Februari 2026</v>
      </c>
    </row>
    <row r="22" spans="3:7" ht="15.75">
      <c r="C22" s="96">
        <v>5</v>
      </c>
      <c r="D22" s="341" t="s">
        <v>107</v>
      </c>
      <c r="E22" s="341"/>
      <c r="F22" s="341"/>
      <c r="G22" s="97" t="str">
        <f>'In Data'!C48</f>
        <v>2 HARI</v>
      </c>
    </row>
    <row r="23" spans="3:7" ht="15.75">
      <c r="C23" s="96">
        <v>6</v>
      </c>
      <c r="D23" s="341" t="s">
        <v>108</v>
      </c>
      <c r="E23" s="341"/>
      <c r="F23" s="341"/>
      <c r="G23" s="97" t="str">
        <f>'In Data'!C50</f>
        <v>BOSP</v>
      </c>
    </row>
    <row r="24" spans="3:7" ht="15.75">
      <c r="C24" s="96">
        <v>7</v>
      </c>
      <c r="D24" s="341" t="s">
        <v>71</v>
      </c>
      <c r="E24" s="341"/>
      <c r="F24" s="341"/>
      <c r="G24" s="97">
        <f>'In Data'!C49</f>
        <v>2026</v>
      </c>
    </row>
    <row r="25" spans="3:7" ht="15.75">
      <c r="C25" s="99">
        <v>8</v>
      </c>
      <c r="D25" s="336" t="s">
        <v>109</v>
      </c>
      <c r="E25" s="336"/>
      <c r="F25" s="336"/>
      <c r="G25" s="100" t="s">
        <v>110</v>
      </c>
    </row>
    <row r="26" spans="3:7" ht="15.75">
      <c r="C26" s="101"/>
      <c r="D26" s="102"/>
      <c r="E26" s="93"/>
      <c r="F26" s="103"/>
      <c r="G26" s="104" t="s">
        <v>111</v>
      </c>
    </row>
    <row r="27" spans="3:7" ht="15.75">
      <c r="C27" s="101"/>
      <c r="D27" s="102"/>
      <c r="E27" s="93"/>
      <c r="F27" s="103"/>
      <c r="G27" s="104" t="s">
        <v>112</v>
      </c>
    </row>
    <row r="28" spans="3:7" ht="15.75">
      <c r="C28" s="101"/>
      <c r="D28" s="102"/>
      <c r="E28" s="93"/>
      <c r="F28" s="103"/>
      <c r="G28" s="104" t="s">
        <v>113</v>
      </c>
    </row>
    <row r="29" spans="3:7" ht="15.75">
      <c r="C29" s="101"/>
      <c r="D29" s="102"/>
      <c r="E29" s="93"/>
      <c r="F29" s="103"/>
      <c r="G29" s="104" t="s">
        <v>114</v>
      </c>
    </row>
    <row r="30" spans="3:7" ht="15.75">
      <c r="C30" s="105"/>
      <c r="D30" s="106"/>
      <c r="E30" s="107"/>
      <c r="F30" s="108"/>
      <c r="G30" s="109" t="s">
        <v>115</v>
      </c>
    </row>
    <row r="31" spans="3:7" ht="15.75">
      <c r="C31" s="93"/>
      <c r="D31" s="93"/>
      <c r="E31" s="93"/>
      <c r="F31" s="93"/>
      <c r="G31" s="93"/>
    </row>
    <row r="32" spans="3:7" ht="15.75">
      <c r="C32" s="93"/>
      <c r="D32" s="93"/>
      <c r="E32" s="93"/>
      <c r="F32" s="93"/>
      <c r="G32" s="93" t="str">
        <f>"Cianjur "&amp;'In Data'!E5&amp;""</f>
        <v>Cianjur 20 Agustus 2026</v>
      </c>
    </row>
    <row r="33" spans="3:7" ht="15.75">
      <c r="C33" s="93"/>
      <c r="D33" s="93"/>
      <c r="E33" s="93"/>
      <c r="F33" s="93"/>
      <c r="G33" s="93" t="s">
        <v>51</v>
      </c>
    </row>
    <row r="34" spans="3:7" ht="15.75">
      <c r="C34" s="93"/>
      <c r="D34" s="93"/>
      <c r="E34" s="93"/>
      <c r="F34" s="93"/>
      <c r="G34" s="93"/>
    </row>
    <row r="35" spans="3:7" ht="15.75">
      <c r="C35" s="93"/>
      <c r="D35" s="93"/>
      <c r="E35" s="93"/>
      <c r="F35" s="93"/>
      <c r="G35" s="93"/>
    </row>
    <row r="36" spans="3:7" ht="15.75">
      <c r="C36" s="93"/>
      <c r="D36" s="93"/>
      <c r="E36" s="93"/>
      <c r="F36" s="93"/>
    </row>
    <row r="37" spans="3:7" ht="15.75">
      <c r="C37" s="93"/>
      <c r="D37" s="93"/>
      <c r="E37" s="93"/>
      <c r="F37" s="93"/>
      <c r="G37" s="93"/>
    </row>
    <row r="38" spans="3:7" ht="15.75">
      <c r="C38" s="93"/>
      <c r="D38" s="93"/>
      <c r="E38" s="93"/>
      <c r="F38" s="93"/>
    </row>
    <row r="39" spans="3:7" ht="15.75">
      <c r="C39" s="93"/>
      <c r="D39" s="93"/>
      <c r="E39" s="93"/>
      <c r="F39" s="93"/>
      <c r="G39" s="93"/>
    </row>
    <row r="40" spans="3:7" ht="15.75">
      <c r="C40" s="93"/>
      <c r="D40" s="93"/>
      <c r="E40" s="93"/>
      <c r="F40" s="93"/>
    </row>
    <row r="41" spans="3:7" ht="15.75">
      <c r="C41" s="93"/>
      <c r="D41" s="93"/>
      <c r="E41" s="93"/>
      <c r="F41" s="93"/>
      <c r="G41" s="110" t="str">
        <f>'In Data'!C26</f>
        <v>Fitri Yurnita, S.Pd</v>
      </c>
    </row>
    <row r="42" spans="3:7" ht="15.75">
      <c r="C42" s="93"/>
      <c r="D42" s="93"/>
      <c r="E42" s="93"/>
      <c r="F42" s="93"/>
      <c r="G42" s="110" t="str">
        <f>"NIP. "&amp;'In Data'!C27&amp;""</f>
        <v>NIP. 198008142009032002</v>
      </c>
    </row>
  </sheetData>
  <mergeCells count="18">
    <mergeCell ref="D25:F25"/>
    <mergeCell ref="C10:G10"/>
    <mergeCell ref="C11:G11"/>
    <mergeCell ref="F14:G14"/>
    <mergeCell ref="D17:F17"/>
    <mergeCell ref="D18:F18"/>
    <mergeCell ref="D19:F19"/>
    <mergeCell ref="D20:F20"/>
    <mergeCell ref="D21:F21"/>
    <mergeCell ref="D22:F22"/>
    <mergeCell ref="D23:F23"/>
    <mergeCell ref="D24:F24"/>
    <mergeCell ref="C8:G8"/>
    <mergeCell ref="C3:G3"/>
    <mergeCell ref="C4:G4"/>
    <mergeCell ref="C6:G6"/>
    <mergeCell ref="C5:G5"/>
    <mergeCell ref="C7:G7"/>
  </mergeCells>
  <printOptions horizontalCentered="1"/>
  <pageMargins left="0.70866141732283472" right="0.70866141732283472" top="0.74803149606299213" bottom="0.74803149606299213" header="0.31496062992125984" footer="0.31496062992125984"/>
  <pageSetup paperSize="14" scale="76" orientation="portrait" r:id="rId1"/>
  <headerFooter>
    <oddHeader>&amp;RFormat Sesuai Permendikbudristek Nomor 18 Tahun 2022</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664C-4F3D-46CA-9A84-ED9FB026A62D}">
  <sheetPr>
    <pageSetUpPr fitToPage="1"/>
  </sheetPr>
  <dimension ref="C2:L37"/>
  <sheetViews>
    <sheetView showGridLines="0" topLeftCell="A19" zoomScaleNormal="100" workbookViewId="0">
      <selection activeCell="O38" sqref="O38"/>
    </sheetView>
  </sheetViews>
  <sheetFormatPr defaultRowHeight="15"/>
  <cols>
    <col min="2" max="3" width="4.42578125" customWidth="1"/>
    <col min="4" max="4" width="29" customWidth="1"/>
    <col min="5" max="5" width="1.5703125" bestFit="1" customWidth="1"/>
    <col min="6" max="6" width="10.42578125" customWidth="1"/>
    <col min="7" max="7" width="16.85546875" customWidth="1"/>
    <col min="8" max="8" width="15.85546875" customWidth="1"/>
    <col min="9" max="10" width="18.140625" customWidth="1"/>
    <col min="11" max="11" width="26.28515625" customWidth="1"/>
    <col min="12" max="12" width="2.140625" customWidth="1"/>
  </cols>
  <sheetData>
    <row r="2" spans="3:12" ht="15.75">
      <c r="C2" s="333" t="str">
        <f>'In Data'!C15</f>
        <v>PEMERINTAH DAERAH PROVINSI JAWA BARAT</v>
      </c>
      <c r="D2" s="333"/>
      <c r="E2" s="333"/>
      <c r="F2" s="333"/>
      <c r="G2" s="333"/>
      <c r="H2" s="333"/>
      <c r="I2" s="333"/>
      <c r="J2" s="333"/>
      <c r="K2" s="333"/>
      <c r="L2" s="307"/>
    </row>
    <row r="3" spans="3:12" ht="15.75">
      <c r="C3" s="333" t="str">
        <f>'In Data'!C16</f>
        <v>DINAS PENDIDIKAN</v>
      </c>
      <c r="D3" s="333"/>
      <c r="E3" s="333"/>
      <c r="F3" s="333"/>
      <c r="G3" s="333"/>
      <c r="H3" s="333"/>
      <c r="I3" s="333"/>
      <c r="J3" s="333"/>
      <c r="K3" s="333"/>
      <c r="L3" s="307"/>
    </row>
    <row r="4" spans="3:12" ht="15.75">
      <c r="C4" s="333" t="str">
        <f>'In Data'!C17</f>
        <v>CABANG DINAS PENDIDIKAN WILAYAH VI</v>
      </c>
      <c r="D4" s="333"/>
      <c r="E4" s="333"/>
      <c r="F4" s="333"/>
      <c r="G4" s="333"/>
      <c r="H4" s="333"/>
      <c r="I4" s="333"/>
      <c r="J4" s="333"/>
      <c r="K4" s="333"/>
      <c r="L4" s="333"/>
    </row>
    <row r="5" spans="3:12" ht="22.5">
      <c r="C5" s="345" t="str">
        <f>'In Data'!C18</f>
        <v xml:space="preserve">SMA NEGERI 1 PAGELARAN </v>
      </c>
      <c r="D5" s="345"/>
      <c r="E5" s="345"/>
      <c r="F5" s="345"/>
      <c r="G5" s="345"/>
      <c r="H5" s="345"/>
      <c r="I5" s="345"/>
      <c r="J5" s="345"/>
      <c r="K5" s="345"/>
      <c r="L5" s="112"/>
    </row>
    <row r="6" spans="3:12" ht="15" customHeight="1">
      <c r="C6" s="335" t="str">
        <f>'In Data'!C20</f>
        <v>Tlp.(0263) 236150  e-mail : smanpagelaran@gmail.com</v>
      </c>
      <c r="D6" s="335"/>
      <c r="E6" s="335"/>
      <c r="F6" s="335"/>
      <c r="G6" s="335"/>
      <c r="H6" s="335"/>
      <c r="I6" s="335"/>
      <c r="J6" s="335"/>
      <c r="K6" s="335"/>
      <c r="L6" s="112"/>
    </row>
    <row r="7" spans="3:12" ht="16.5" thickBot="1">
      <c r="C7" s="332" t="str">
        <f>'In Data'!C21</f>
        <v>Jalan Raya Pagelaran Kp. Cibeureum Desa Sindangkerta Rt. 06/Rw. 07  Pagelaran – Cianjur 43266</v>
      </c>
      <c r="D7" s="332"/>
      <c r="E7" s="332"/>
      <c r="F7" s="332"/>
      <c r="G7" s="332"/>
      <c r="H7" s="332"/>
      <c r="I7" s="332"/>
      <c r="J7" s="332"/>
      <c r="K7" s="332"/>
      <c r="L7" s="111"/>
    </row>
    <row r="8" spans="3:12" ht="16.5" thickTop="1">
      <c r="C8" s="113"/>
      <c r="D8" s="113"/>
      <c r="E8" s="113"/>
      <c r="F8" s="113"/>
      <c r="G8" s="113"/>
      <c r="H8" s="113"/>
      <c r="I8" s="113"/>
      <c r="J8" s="113"/>
      <c r="K8" s="113"/>
      <c r="L8" s="113"/>
    </row>
    <row r="9" spans="3:12" ht="15.75">
      <c r="C9" s="337" t="s">
        <v>29</v>
      </c>
      <c r="D9" s="337"/>
      <c r="E9" s="337"/>
      <c r="F9" s="337"/>
      <c r="G9" s="337"/>
      <c r="H9" s="337"/>
      <c r="I9" s="337"/>
      <c r="J9" s="337"/>
      <c r="K9" s="337"/>
      <c r="L9" s="114"/>
    </row>
    <row r="10" spans="3:12" ht="15.75">
      <c r="C10" s="338" t="str">
        <f>'In Data'!C6</f>
        <v>900/......../SMAN.01/CADISDIKWIL.VI/......./2026</v>
      </c>
      <c r="D10" s="338"/>
      <c r="E10" s="338"/>
      <c r="F10" s="338"/>
      <c r="G10" s="338"/>
      <c r="H10" s="338"/>
      <c r="I10" s="338"/>
      <c r="J10" s="338"/>
      <c r="K10" s="338"/>
      <c r="L10" s="114"/>
    </row>
    <row r="11" spans="3:12" ht="15.75">
      <c r="C11" s="115"/>
      <c r="D11" s="115"/>
      <c r="E11" s="115"/>
      <c r="F11" s="115"/>
      <c r="G11" s="115"/>
      <c r="H11" s="115"/>
      <c r="I11" s="115"/>
      <c r="J11" s="115"/>
      <c r="K11" s="115"/>
      <c r="L11" s="114"/>
    </row>
    <row r="12" spans="3:12" ht="15.75">
      <c r="C12" s="93"/>
      <c r="D12" s="93"/>
      <c r="E12" s="93"/>
      <c r="F12" s="93"/>
      <c r="G12" s="93"/>
      <c r="H12" s="93"/>
      <c r="I12" s="93"/>
      <c r="J12" s="93"/>
      <c r="K12" s="93"/>
      <c r="L12" s="114"/>
    </row>
    <row r="13" spans="3:12" ht="15.75">
      <c r="C13" s="93" t="s">
        <v>44</v>
      </c>
      <c r="D13" s="93"/>
      <c r="E13" s="93" t="s">
        <v>102</v>
      </c>
      <c r="F13" s="93" t="str">
        <f>'In Data'!C18</f>
        <v xml:space="preserve">SMA NEGERI 1 PAGELARAN </v>
      </c>
      <c r="G13" s="93"/>
      <c r="H13" s="93"/>
      <c r="I13" s="93"/>
      <c r="J13" s="93"/>
      <c r="K13" s="93"/>
      <c r="L13" s="114"/>
    </row>
    <row r="14" spans="3:12" ht="15" customHeight="1">
      <c r="C14" s="94" t="s">
        <v>116</v>
      </c>
      <c r="D14" s="94"/>
      <c r="E14" s="94" t="s">
        <v>102</v>
      </c>
      <c r="F14" s="339" t="str">
        <f>'In Data'!C19</f>
        <v>Jalan Raya Pagelaran Kp. Cibeureum Desa Sindangkerta Rt. 06/Rw. 07  Pagelaran – Cianjur 43266</v>
      </c>
      <c r="G14" s="339"/>
      <c r="H14" s="339"/>
      <c r="I14" s="339"/>
      <c r="J14" s="339"/>
      <c r="K14" s="339"/>
      <c r="L14" s="114"/>
    </row>
    <row r="15" spans="3:12" ht="15.75">
      <c r="C15" s="93" t="s">
        <v>117</v>
      </c>
      <c r="D15" s="93"/>
      <c r="E15" s="93" t="s">
        <v>102</v>
      </c>
      <c r="F15" s="93" t="str">
        <f>'In Data'!C68</f>
        <v xml:space="preserve">CV. AFWAN </v>
      </c>
      <c r="G15" s="93"/>
      <c r="H15" s="93"/>
      <c r="I15" s="93"/>
      <c r="J15" s="93"/>
      <c r="K15" s="93"/>
      <c r="L15" s="114"/>
    </row>
    <row r="16" spans="3:12" ht="15" customHeight="1">
      <c r="C16" s="94" t="s">
        <v>118</v>
      </c>
      <c r="D16" s="94"/>
      <c r="E16" s="94" t="s">
        <v>102</v>
      </c>
      <c r="F16" s="339" t="str">
        <f>'In Data'!C69</f>
        <v>Kp. Cangklek No. 61 RT.004 / RW.001 Sukamanah, Cugenang, Cianjur Jawa barat</v>
      </c>
      <c r="G16" s="339"/>
      <c r="H16" s="339"/>
      <c r="I16" s="339"/>
      <c r="J16" s="339"/>
      <c r="K16" s="339"/>
      <c r="L16" s="114"/>
    </row>
    <row r="17" spans="3:12" ht="15.75">
      <c r="C17" s="93" t="s">
        <v>119</v>
      </c>
      <c r="D17" s="93"/>
      <c r="E17" s="93" t="s">
        <v>102</v>
      </c>
      <c r="F17" s="93" t="str">
        <f>'In Data'!E8</f>
        <v>03 Februari 2026</v>
      </c>
      <c r="G17" s="93"/>
      <c r="H17" s="93"/>
      <c r="I17" s="93"/>
      <c r="J17" s="93"/>
      <c r="K17" s="93"/>
      <c r="L17" s="116"/>
    </row>
    <row r="18" spans="3:12" ht="15.75">
      <c r="C18" s="93" t="s">
        <v>120</v>
      </c>
      <c r="D18" s="93"/>
      <c r="E18" s="93" t="s">
        <v>102</v>
      </c>
      <c r="F18" s="342">
        <f>'In Data'!C41</f>
        <v>15000000</v>
      </c>
      <c r="G18" s="342"/>
      <c r="H18" s="93"/>
      <c r="I18" s="93"/>
      <c r="J18" s="93"/>
      <c r="K18" s="93"/>
      <c r="L18" s="116"/>
    </row>
    <row r="19" spans="3:12" ht="15.75">
      <c r="C19" s="93"/>
      <c r="D19" s="93"/>
      <c r="E19" s="93"/>
      <c r="F19" s="93"/>
      <c r="G19" s="93"/>
      <c r="H19" s="93"/>
      <c r="I19" s="93"/>
      <c r="J19" s="93"/>
      <c r="K19" s="93"/>
      <c r="L19" s="116"/>
    </row>
    <row r="20" spans="3:12" ht="47.25">
      <c r="C20" s="117" t="s">
        <v>0</v>
      </c>
      <c r="D20" s="117" t="s">
        <v>121</v>
      </c>
      <c r="E20" s="118"/>
      <c r="F20" s="119" t="s">
        <v>122</v>
      </c>
      <c r="G20" s="120" t="s">
        <v>3</v>
      </c>
      <c r="H20" s="120" t="s">
        <v>4</v>
      </c>
      <c r="I20" s="120" t="s">
        <v>7</v>
      </c>
      <c r="J20" s="120" t="s">
        <v>123</v>
      </c>
      <c r="K20" s="117" t="s">
        <v>104</v>
      </c>
      <c r="L20" s="116"/>
    </row>
    <row r="21" spans="3:12" ht="15.75">
      <c r="C21" s="96">
        <f>'In Produk'!B6</f>
        <v>1</v>
      </c>
      <c r="D21" s="121" t="str">
        <f>'In Produk'!C6</f>
        <v>Kertas Karton</v>
      </c>
      <c r="E21" s="122"/>
      <c r="F21" s="123">
        <f>'In Produk'!H6</f>
        <v>44</v>
      </c>
      <c r="G21" s="124">
        <f>'In Produk'!E6</f>
        <v>4000</v>
      </c>
      <c r="H21" s="124">
        <f>'In Produk'!I6</f>
        <v>176000</v>
      </c>
      <c r="I21" s="124">
        <f>'In Produk'!J6</f>
        <v>176000</v>
      </c>
      <c r="J21" s="124">
        <f>'In Produk'!I6</f>
        <v>176000</v>
      </c>
      <c r="K21" s="121"/>
      <c r="L21" s="116"/>
    </row>
    <row r="22" spans="3:12" ht="15.75">
      <c r="C22" s="96">
        <f>'In Produk'!B7</f>
        <v>2</v>
      </c>
      <c r="D22" s="121" t="str">
        <f>'In Produk'!C7</f>
        <v>kertas HVS A4</v>
      </c>
      <c r="E22" s="122"/>
      <c r="F22" s="123">
        <f>'In Produk'!H7</f>
        <v>25</v>
      </c>
      <c r="G22" s="124">
        <f>'In Produk'!E7</f>
        <v>55000</v>
      </c>
      <c r="H22" s="124">
        <f>'In Produk'!I7</f>
        <v>1375000</v>
      </c>
      <c r="I22" s="124">
        <f>'In Produk'!J7</f>
        <v>1375000</v>
      </c>
      <c r="J22" s="124">
        <f>'In Produk'!I7</f>
        <v>1375000</v>
      </c>
      <c r="K22" s="121"/>
      <c r="L22" s="116"/>
    </row>
    <row r="23" spans="3:12" ht="15.75">
      <c r="C23" s="96">
        <f>'In Produk'!B8</f>
        <v>3</v>
      </c>
      <c r="D23" s="121" t="str">
        <f>'In Produk'!C8</f>
        <v>kertas HVS F4</v>
      </c>
      <c r="E23" s="122"/>
      <c r="F23" s="123">
        <f>'In Produk'!H8</f>
        <v>25</v>
      </c>
      <c r="G23" s="124">
        <f>'In Produk'!E8</f>
        <v>60000</v>
      </c>
      <c r="H23" s="124">
        <f>'In Produk'!I8</f>
        <v>1500000</v>
      </c>
      <c r="I23" s="124">
        <f>'In Produk'!J8</f>
        <v>1500000</v>
      </c>
      <c r="J23" s="124">
        <f>'In Produk'!I8</f>
        <v>1500000</v>
      </c>
      <c r="K23" s="121"/>
      <c r="L23" s="116"/>
    </row>
    <row r="24" spans="3:12" ht="15.75">
      <c r="C24" s="96">
        <f>'In Produk'!B9</f>
        <v>4</v>
      </c>
      <c r="D24" s="121" t="str">
        <f>'In Produk'!C9</f>
        <v>Kertas Manila</v>
      </c>
      <c r="E24" s="122"/>
      <c r="F24" s="123">
        <f>'In Produk'!H9</f>
        <v>23</v>
      </c>
      <c r="G24" s="124">
        <f>'In Produk'!E9</f>
        <v>3000</v>
      </c>
      <c r="H24" s="124">
        <f>'In Produk'!I9</f>
        <v>69000</v>
      </c>
      <c r="I24" s="124">
        <f>'In Produk'!J9</f>
        <v>69000</v>
      </c>
      <c r="J24" s="124">
        <f>'In Produk'!I9</f>
        <v>69000</v>
      </c>
      <c r="K24" s="121"/>
      <c r="L24" s="116"/>
    </row>
    <row r="25" spans="3:12" ht="15.75">
      <c r="C25" s="96">
        <f>'In Produk'!B10</f>
        <v>5</v>
      </c>
      <c r="D25" s="121" t="str">
        <f>'In Produk'!C10</f>
        <v>Kertas lipat</v>
      </c>
      <c r="E25" s="122"/>
      <c r="F25" s="123">
        <f>'In Produk'!H10</f>
        <v>12</v>
      </c>
      <c r="G25" s="124">
        <f>'In Produk'!E10</f>
        <v>15000</v>
      </c>
      <c r="H25" s="124">
        <f>'In Produk'!I10</f>
        <v>180000</v>
      </c>
      <c r="I25" s="124">
        <f>'In Produk'!J10</f>
        <v>180000</v>
      </c>
      <c r="J25" s="124">
        <f>'In Produk'!I10</f>
        <v>180000</v>
      </c>
      <c r="K25" s="121"/>
      <c r="L25" s="116"/>
    </row>
    <row r="26" spans="3:12" ht="15.75">
      <c r="C26" s="96">
        <f>'In Produk'!B11</f>
        <v>6</v>
      </c>
      <c r="D26" s="121" t="str">
        <f>'In Produk'!C11</f>
        <v>Kertas cover ukuran kwarto/A4</v>
      </c>
      <c r="E26" s="122"/>
      <c r="F26" s="123">
        <f>'In Produk'!H11</f>
        <v>30</v>
      </c>
      <c r="G26" s="124">
        <f>'In Produk'!E11</f>
        <v>56000</v>
      </c>
      <c r="H26" s="124">
        <f>'In Produk'!I11</f>
        <v>1680000</v>
      </c>
      <c r="I26" s="124">
        <f>'In Produk'!J11</f>
        <v>1680000</v>
      </c>
      <c r="J26" s="124">
        <f>'In Produk'!I11</f>
        <v>1680000</v>
      </c>
      <c r="K26" s="121"/>
      <c r="L26" s="116"/>
    </row>
    <row r="27" spans="3:12" ht="15.75">
      <c r="C27" s="96">
        <f>'In Produk'!B12</f>
        <v>7</v>
      </c>
      <c r="D27" s="121" t="str">
        <f>'In Produk'!C12</f>
        <v>Kertas cover ukuran folio warna</v>
      </c>
      <c r="E27" s="122"/>
      <c r="F27" s="123">
        <f>'In Produk'!H12</f>
        <v>30</v>
      </c>
      <c r="G27" s="124">
        <f>'In Produk'!E12</f>
        <v>60000</v>
      </c>
      <c r="H27" s="124">
        <f>'In Produk'!I12</f>
        <v>1800000</v>
      </c>
      <c r="I27" s="124">
        <f>'In Produk'!J12</f>
        <v>1800000</v>
      </c>
      <c r="J27" s="124">
        <f>'In Produk'!I12</f>
        <v>1800000</v>
      </c>
      <c r="K27" s="121"/>
      <c r="L27" s="116"/>
    </row>
    <row r="28" spans="3:12" ht="15.75">
      <c r="C28" s="343" t="s">
        <v>124</v>
      </c>
      <c r="D28" s="344"/>
      <c r="E28" s="125"/>
      <c r="F28" s="126">
        <f>SUM(F21:F27)</f>
        <v>189</v>
      </c>
      <c r="G28" s="127"/>
      <c r="H28" s="127"/>
      <c r="I28" s="127">
        <f>SUM(I21:I27)</f>
        <v>6780000</v>
      </c>
      <c r="J28" s="127">
        <f>SUM(J21:J27)</f>
        <v>6780000</v>
      </c>
      <c r="K28" s="95"/>
      <c r="L28" s="116"/>
    </row>
    <row r="29" spans="3:12" ht="15.75">
      <c r="C29" s="93"/>
      <c r="D29" s="93"/>
      <c r="E29" s="93"/>
      <c r="F29" s="93"/>
      <c r="G29" s="93"/>
      <c r="H29" s="93"/>
      <c r="I29" s="93"/>
      <c r="J29" s="93"/>
      <c r="K29" s="93"/>
      <c r="L29" s="116"/>
    </row>
    <row r="30" spans="3:12" ht="15.75">
      <c r="C30" s="93"/>
      <c r="D30" s="93"/>
      <c r="E30" s="93"/>
      <c r="F30" s="93"/>
      <c r="G30" s="93"/>
      <c r="H30" s="116"/>
      <c r="I30" s="93"/>
      <c r="J30" s="93"/>
      <c r="K30" s="93" t="str">
        <f>"Cianjur, "&amp;'In Data'!E6&amp;""</f>
        <v>Cianjur, 20 Agustus 2026</v>
      </c>
      <c r="L30" s="116"/>
    </row>
    <row r="31" spans="3:12" ht="15.75">
      <c r="C31" s="93"/>
      <c r="D31" s="93" t="s">
        <v>125</v>
      </c>
      <c r="E31" s="93"/>
      <c r="F31" s="93"/>
      <c r="G31" s="93"/>
      <c r="H31" s="116"/>
      <c r="I31" s="93"/>
      <c r="J31" s="93"/>
      <c r="K31" s="93" t="s">
        <v>51</v>
      </c>
      <c r="L31" s="116"/>
    </row>
    <row r="32" spans="3:12" ht="15.75">
      <c r="C32" s="93"/>
      <c r="D32" s="93"/>
      <c r="E32" s="93"/>
      <c r="F32" s="93"/>
      <c r="G32" s="93"/>
      <c r="H32" s="116"/>
      <c r="I32" s="93"/>
      <c r="J32" s="93"/>
      <c r="K32" s="93"/>
      <c r="L32" s="116"/>
    </row>
    <row r="33" spans="3:12" ht="15.75">
      <c r="C33" s="93"/>
      <c r="D33" s="93"/>
      <c r="E33" s="93"/>
      <c r="F33" s="93"/>
      <c r="G33" s="93"/>
      <c r="H33" s="116"/>
      <c r="I33" s="93"/>
      <c r="J33" s="93"/>
      <c r="K33" s="93"/>
      <c r="L33" s="116"/>
    </row>
    <row r="34" spans="3:12" ht="15.75">
      <c r="C34" s="93"/>
      <c r="D34" s="93"/>
      <c r="E34" s="93"/>
      <c r="F34" s="93"/>
      <c r="G34" s="93"/>
      <c r="H34" s="116"/>
      <c r="I34" s="93"/>
      <c r="J34" s="93"/>
      <c r="K34" s="93"/>
      <c r="L34" s="116"/>
    </row>
    <row r="35" spans="3:12" ht="15.75">
      <c r="C35" s="93"/>
      <c r="D35" s="93"/>
      <c r="E35" s="93"/>
      <c r="F35" s="93"/>
      <c r="G35" s="93"/>
      <c r="H35" s="116"/>
      <c r="I35" s="93"/>
      <c r="J35" s="93"/>
      <c r="K35" s="93"/>
      <c r="L35" s="116"/>
    </row>
    <row r="36" spans="3:12" ht="15.75">
      <c r="C36" s="93"/>
      <c r="D36" s="110" t="str">
        <f>'In Data'!C54</f>
        <v>Mega Afriyanti, S.Pd</v>
      </c>
      <c r="E36" s="93"/>
      <c r="F36" s="93"/>
      <c r="G36" s="93"/>
      <c r="H36" s="116"/>
      <c r="I36" s="110"/>
      <c r="J36" s="110"/>
      <c r="K36" s="110" t="str">
        <f>'In Data'!C26</f>
        <v>Fitri Yurnita, S.Pd</v>
      </c>
      <c r="L36" s="116"/>
    </row>
    <row r="37" spans="3:12" ht="15.75">
      <c r="C37" s="93"/>
      <c r="D37" s="110" t="str">
        <f>'[2]INPUT DATA'!C56</f>
        <v>Direktur</v>
      </c>
      <c r="E37" s="93"/>
      <c r="F37" s="93"/>
      <c r="G37" s="93"/>
      <c r="H37" s="116"/>
      <c r="I37" s="110"/>
      <c r="J37" s="110"/>
      <c r="K37" s="110" t="str">
        <f>"NIP. "&amp;'In Data'!C27&amp;""</f>
        <v>NIP. 198008142009032002</v>
      </c>
      <c r="L37" s="116"/>
    </row>
  </sheetData>
  <mergeCells count="12">
    <mergeCell ref="F16:K16"/>
    <mergeCell ref="F18:G18"/>
    <mergeCell ref="C28:D28"/>
    <mergeCell ref="C2:K2"/>
    <mergeCell ref="C3:K3"/>
    <mergeCell ref="C5:K5"/>
    <mergeCell ref="C7:K7"/>
    <mergeCell ref="C9:K9"/>
    <mergeCell ref="C10:K10"/>
    <mergeCell ref="F14:K14"/>
    <mergeCell ref="C4:L4"/>
    <mergeCell ref="C6:K6"/>
  </mergeCells>
  <printOptions horizontalCentered="1"/>
  <pageMargins left="0.70866141732283472" right="0.70866141732283472" top="0.74803149606299213" bottom="0.74803149606299213" header="0.31496062992125984" footer="0.31496062992125984"/>
  <pageSetup paperSize="14" scale="61" orientation="portrait" r:id="rId1"/>
  <headerFooter>
    <oddHeader xml:space="preserve">&amp;RFormat Sesuai Permendikbudristek  Nomor 18 Tahun 2022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3D2E-CF00-4318-8C15-FC694506650B}">
  <sheetPr>
    <pageSetUpPr fitToPage="1"/>
  </sheetPr>
  <dimension ref="B2:J67"/>
  <sheetViews>
    <sheetView showGridLines="0" tabSelected="1" topLeftCell="A31" zoomScaleNormal="100" workbookViewId="0">
      <selection activeCell="M37" sqref="M37"/>
    </sheetView>
  </sheetViews>
  <sheetFormatPr defaultRowHeight="15"/>
  <cols>
    <col min="2" max="2" width="4" customWidth="1"/>
    <col min="3" max="3" width="7" customWidth="1"/>
    <col min="4" max="4" width="22.7109375" customWidth="1"/>
    <col min="5" max="5" width="2.7109375" customWidth="1"/>
    <col min="6" max="6" width="28.7109375" customWidth="1"/>
    <col min="7" max="7" width="22.140625" customWidth="1"/>
    <col min="8" max="8" width="7.85546875" bestFit="1" customWidth="1"/>
    <col min="9" max="9" width="19.140625" bestFit="1" customWidth="1"/>
    <col min="10" max="10" width="14" bestFit="1" customWidth="1"/>
  </cols>
  <sheetData>
    <row r="2" spans="2:9" ht="15.75">
      <c r="B2" s="129"/>
      <c r="C2" s="129"/>
      <c r="D2" s="129"/>
      <c r="E2" s="129"/>
      <c r="F2" s="129"/>
      <c r="G2" s="129"/>
      <c r="H2" s="129"/>
      <c r="I2" s="129"/>
    </row>
    <row r="3" spans="2:9" ht="15.75">
      <c r="B3" s="129"/>
      <c r="C3" s="347" t="str">
        <f>'In Data'!C15</f>
        <v>PEMERINTAH DAERAH PROVINSI JAWA BARAT</v>
      </c>
      <c r="D3" s="347"/>
      <c r="E3" s="347"/>
      <c r="F3" s="347"/>
      <c r="G3" s="347"/>
      <c r="H3" s="347"/>
      <c r="I3" s="347"/>
    </row>
    <row r="4" spans="2:9" ht="15.75">
      <c r="B4" s="129"/>
      <c r="C4" s="347" t="str">
        <f>'In Data'!C16</f>
        <v>DINAS PENDIDIKAN</v>
      </c>
      <c r="D4" s="347"/>
      <c r="E4" s="347"/>
      <c r="F4" s="347"/>
      <c r="G4" s="347"/>
      <c r="H4" s="347"/>
      <c r="I4" s="347"/>
    </row>
    <row r="5" spans="2:9" ht="15.75">
      <c r="B5" s="129"/>
      <c r="C5" s="347" t="str">
        <f>'In Data'!C17</f>
        <v>CABANG DINAS PENDIDIKAN WILAYAH VI</v>
      </c>
      <c r="D5" s="347"/>
      <c r="E5" s="347"/>
      <c r="F5" s="347"/>
      <c r="G5" s="347"/>
      <c r="H5" s="347"/>
      <c r="I5" s="347"/>
    </row>
    <row r="6" spans="2:9" ht="20.25">
      <c r="B6" s="129"/>
      <c r="C6" s="348" t="str">
        <f>'In Data'!C18</f>
        <v xml:space="preserve">SMA NEGERI 1 PAGELARAN </v>
      </c>
      <c r="D6" s="348"/>
      <c r="E6" s="348"/>
      <c r="F6" s="348"/>
      <c r="G6" s="348"/>
      <c r="H6" s="348"/>
      <c r="I6" s="348"/>
    </row>
    <row r="7" spans="2:9" ht="15.75">
      <c r="B7" s="129"/>
      <c r="C7" s="349" t="str">
        <f>'In Data'!C20</f>
        <v>Tlp.(0263) 236150  e-mail : smanpagelaran@gmail.com</v>
      </c>
      <c r="D7" s="349"/>
      <c r="E7" s="349"/>
      <c r="F7" s="349"/>
      <c r="G7" s="349"/>
      <c r="H7" s="349"/>
      <c r="I7" s="349"/>
    </row>
    <row r="8" spans="2:9" ht="16.5" thickBot="1">
      <c r="B8" s="129"/>
      <c r="C8" s="349" t="str">
        <f>'In Data'!C21</f>
        <v>Jalan Raya Pagelaran Kp. Cibeureum Desa Sindangkerta Rt. 06/Rw. 07  Pagelaran – Cianjur 43266</v>
      </c>
      <c r="D8" s="349"/>
      <c r="E8" s="349"/>
      <c r="F8" s="349"/>
      <c r="G8" s="349"/>
      <c r="H8" s="349"/>
      <c r="I8" s="349"/>
    </row>
    <row r="9" spans="2:9" ht="16.5" thickTop="1">
      <c r="B9" s="129"/>
      <c r="C9" s="299"/>
      <c r="D9" s="300"/>
      <c r="E9" s="300"/>
      <c r="F9" s="300"/>
      <c r="G9" s="300"/>
      <c r="H9" s="300"/>
      <c r="I9" s="299"/>
    </row>
    <row r="10" spans="2:9" ht="20.25">
      <c r="B10" s="129"/>
      <c r="C10" s="317" t="s">
        <v>126</v>
      </c>
      <c r="D10" s="317"/>
      <c r="E10" s="317"/>
      <c r="F10" s="317"/>
      <c r="G10" s="317"/>
      <c r="H10" s="317"/>
      <c r="I10" s="317"/>
    </row>
    <row r="11" spans="2:9" ht="15.75">
      <c r="B11" s="129"/>
      <c r="C11" s="346" t="str">
        <f>'In Data'!C7</f>
        <v>900/......../SMAN.01/CADISDIKWIL.VI/......./2026</v>
      </c>
      <c r="D11" s="346"/>
      <c r="E11" s="346"/>
      <c r="F11" s="346"/>
      <c r="G11" s="346"/>
      <c r="H11" s="346"/>
      <c r="I11" s="346"/>
    </row>
    <row r="12" spans="2:9" ht="15.75">
      <c r="B12" s="129"/>
      <c r="C12" s="346" t="str">
        <f>"Tanggal "&amp;'In Data'!E7&amp;""</f>
        <v>Tanggal 02 Februari 2026</v>
      </c>
      <c r="D12" s="346"/>
      <c r="E12" s="346"/>
      <c r="F12" s="346"/>
      <c r="G12" s="346"/>
      <c r="H12" s="346"/>
      <c r="I12" s="346"/>
    </row>
    <row r="13" spans="2:9" ht="15.75">
      <c r="B13" s="129"/>
      <c r="C13" s="130"/>
      <c r="D13" s="53"/>
      <c r="E13" s="130"/>
      <c r="F13" s="130"/>
      <c r="G13" s="130"/>
      <c r="H13" s="130"/>
      <c r="I13" s="53"/>
    </row>
    <row r="14" spans="2:9" ht="15.75">
      <c r="B14" s="129"/>
      <c r="C14" s="319" t="s">
        <v>127</v>
      </c>
      <c r="D14" s="319"/>
      <c r="E14" s="319"/>
      <c r="F14" s="319"/>
      <c r="G14" s="319"/>
      <c r="H14" s="319"/>
      <c r="I14" s="319"/>
    </row>
    <row r="15" spans="2:9" ht="15.75">
      <c r="B15" s="129"/>
      <c r="C15" s="346" t="str">
        <f>'In Data'!C38</f>
        <v>Belanja Alat Tulis Kantor</v>
      </c>
      <c r="D15" s="346"/>
      <c r="E15" s="346"/>
      <c r="F15" s="346"/>
      <c r="G15" s="346"/>
      <c r="H15" s="346"/>
      <c r="I15" s="346"/>
    </row>
    <row r="16" spans="2:9" ht="15.75">
      <c r="B16" s="129"/>
      <c r="C16" s="346" t="str">
        <f>"Pada "&amp;'In Data'!C18&amp;""</f>
        <v xml:space="preserve">Pada SMA NEGERI 1 PAGELARAN </v>
      </c>
      <c r="D16" s="346"/>
      <c r="E16" s="346"/>
      <c r="F16" s="346"/>
      <c r="G16" s="346"/>
      <c r="H16" s="346"/>
      <c r="I16" s="346"/>
    </row>
    <row r="17" spans="2:9" ht="15.75">
      <c r="B17" s="129"/>
      <c r="C17" s="53"/>
      <c r="D17" s="130"/>
      <c r="E17" s="130"/>
      <c r="F17" s="130"/>
      <c r="G17" s="130"/>
      <c r="H17" s="130"/>
      <c r="I17" s="53"/>
    </row>
    <row r="18" spans="2:9" ht="15.75">
      <c r="B18" s="129"/>
      <c r="C18" s="53" t="s">
        <v>128</v>
      </c>
      <c r="D18" s="53"/>
      <c r="E18" s="53"/>
      <c r="F18" s="53"/>
      <c r="G18" s="53"/>
      <c r="H18" s="53"/>
      <c r="I18" s="53"/>
    </row>
    <row r="19" spans="2:9" ht="15.75">
      <c r="B19" s="129"/>
      <c r="C19" s="131" t="s">
        <v>129</v>
      </c>
      <c r="D19" s="53" t="s">
        <v>130</v>
      </c>
      <c r="E19" s="53" t="s">
        <v>102</v>
      </c>
      <c r="F19" s="53" t="str">
        <f>'In Data'!C26</f>
        <v>Fitri Yurnita, S.Pd</v>
      </c>
      <c r="G19" s="53"/>
      <c r="H19" s="53"/>
      <c r="I19" s="53"/>
    </row>
    <row r="20" spans="2:9" ht="15.75">
      <c r="B20" s="129"/>
      <c r="C20" s="131"/>
      <c r="D20" s="53" t="s">
        <v>131</v>
      </c>
      <c r="E20" s="53" t="s">
        <v>102</v>
      </c>
      <c r="F20" s="132" t="s">
        <v>326</v>
      </c>
      <c r="G20" s="53"/>
      <c r="H20" s="53"/>
      <c r="I20" s="53"/>
    </row>
    <row r="21" spans="2:9" ht="33" customHeight="1">
      <c r="B21" s="129"/>
      <c r="C21" s="131"/>
      <c r="D21" s="133" t="s">
        <v>132</v>
      </c>
      <c r="E21" s="133" t="s">
        <v>102</v>
      </c>
      <c r="F21" s="350" t="str">
        <f>'In Data'!C21</f>
        <v>Jalan Raya Pagelaran Kp. Cibeureum Desa Sindangkerta Rt. 06/Rw. 07  Pagelaran – Cianjur 43266</v>
      </c>
      <c r="G21" s="350"/>
      <c r="H21" s="350"/>
      <c r="I21" s="350"/>
    </row>
    <row r="22" spans="2:9" ht="15.75">
      <c r="B22" s="129"/>
      <c r="C22" s="134" t="s">
        <v>133</v>
      </c>
      <c r="D22" s="53"/>
      <c r="E22" s="135"/>
      <c r="F22" s="135"/>
      <c r="G22" s="135"/>
      <c r="H22" s="136"/>
      <c r="I22" s="53"/>
    </row>
    <row r="23" spans="2:9" ht="15.75">
      <c r="B23" s="129"/>
      <c r="C23" s="134"/>
      <c r="D23" s="53"/>
      <c r="E23" s="135"/>
      <c r="F23" s="135"/>
      <c r="G23" s="135"/>
      <c r="H23" s="136"/>
      <c r="I23" s="53"/>
    </row>
    <row r="24" spans="2:9" ht="15.75">
      <c r="B24" s="129"/>
      <c r="C24" s="131" t="s">
        <v>134</v>
      </c>
      <c r="D24" s="53" t="s">
        <v>130</v>
      </c>
      <c r="E24" s="53" t="s">
        <v>102</v>
      </c>
      <c r="F24" s="53" t="str">
        <f>'In Data'!C54</f>
        <v>Mega Afriyanti, S.Pd</v>
      </c>
      <c r="G24" s="53"/>
      <c r="H24" s="53"/>
      <c r="I24" s="53"/>
    </row>
    <row r="25" spans="2:9" ht="15.75">
      <c r="B25" s="129"/>
      <c r="C25" s="53"/>
      <c r="D25" s="53" t="s">
        <v>131</v>
      </c>
      <c r="E25" s="53" t="s">
        <v>102</v>
      </c>
      <c r="F25" s="53" t="str">
        <f>'In Data'!C58</f>
        <v>Direktur</v>
      </c>
      <c r="G25" s="53"/>
      <c r="H25" s="53"/>
      <c r="I25" s="53"/>
    </row>
    <row r="26" spans="2:9" ht="15.75">
      <c r="B26" s="129"/>
      <c r="C26" s="53"/>
      <c r="D26" s="53" t="s">
        <v>135</v>
      </c>
      <c r="E26" s="53" t="s">
        <v>102</v>
      </c>
      <c r="F26" s="137" t="str">
        <f>'In Data'!C59</f>
        <v>-</v>
      </c>
      <c r="G26" s="53"/>
      <c r="H26" s="53"/>
      <c r="I26" s="53"/>
    </row>
    <row r="27" spans="2:9" ht="30.75" customHeight="1">
      <c r="B27" s="129"/>
      <c r="C27" s="53"/>
      <c r="D27" s="138" t="s">
        <v>90</v>
      </c>
      <c r="E27" s="138" t="s">
        <v>102</v>
      </c>
      <c r="F27" s="350" t="str">
        <f>'In Data'!C69</f>
        <v>Kp. Cangklek No. 61 RT.004 / RW.001 Sukamanah, Cugenang, Cianjur Jawa barat</v>
      </c>
      <c r="G27" s="350"/>
      <c r="H27" s="350"/>
      <c r="I27" s="350"/>
    </row>
    <row r="28" spans="2:9" ht="15.75">
      <c r="B28" s="129"/>
      <c r="C28" s="53" t="s">
        <v>136</v>
      </c>
      <c r="D28" s="53"/>
      <c r="E28" s="53"/>
      <c r="F28" s="53"/>
      <c r="G28" s="53"/>
      <c r="H28" s="53"/>
      <c r="I28" s="53"/>
    </row>
    <row r="29" spans="2:9" ht="15.75">
      <c r="B29" s="129"/>
      <c r="C29" s="53"/>
      <c r="D29" s="351"/>
      <c r="E29" s="351"/>
      <c r="F29" s="351"/>
      <c r="G29" s="351"/>
      <c r="H29" s="351"/>
      <c r="I29" s="53"/>
    </row>
    <row r="30" spans="2:9" ht="50.25" customHeight="1">
      <c r="B30" s="129"/>
      <c r="C30" s="352" t="str">
        <f>"Berdasarkan dokumen perencanaan nomor "&amp;'In Data'!C5&amp;" pada kegiatan "&amp;'In Data'!C38&amp;", dengan ini kami sampaikan rincian pesanan sebagai berikut :"</f>
        <v>Berdasarkan dokumen perencanaan nomor 900/......../SMAN.01/CADISDIKWIL.VI/......./2026 pada kegiatan Belanja Alat Tulis Kantor, dengan ini kami sampaikan rincian pesanan sebagai berikut :</v>
      </c>
      <c r="D30" s="352"/>
      <c r="E30" s="352"/>
      <c r="F30" s="352"/>
      <c r="G30" s="352"/>
      <c r="H30" s="352"/>
      <c r="I30" s="352"/>
    </row>
    <row r="31" spans="2:9" ht="15.75">
      <c r="B31" s="129"/>
      <c r="C31" s="139" t="s">
        <v>0</v>
      </c>
      <c r="D31" s="353" t="s">
        <v>121</v>
      </c>
      <c r="E31" s="354"/>
      <c r="F31" s="355"/>
      <c r="G31" s="140" t="s">
        <v>137</v>
      </c>
      <c r="H31" s="140" t="s">
        <v>5</v>
      </c>
      <c r="I31" s="140" t="s">
        <v>138</v>
      </c>
    </row>
    <row r="32" spans="2:9" ht="15.75">
      <c r="B32" s="129"/>
      <c r="C32" s="145">
        <f>'In Produk'!B6</f>
        <v>1</v>
      </c>
      <c r="D32" s="141" t="str">
        <f>'In Produk'!C6</f>
        <v>Kertas Karton</v>
      </c>
      <c r="E32" s="142"/>
      <c r="F32" s="143"/>
      <c r="G32" s="144">
        <f>'In Produk'!G6</f>
        <v>4000</v>
      </c>
      <c r="H32" s="145">
        <f>'In Produk'!H6</f>
        <v>44</v>
      </c>
      <c r="I32" s="146">
        <f>'In Produk'!I6</f>
        <v>176000</v>
      </c>
    </row>
    <row r="33" spans="2:9" ht="15.75">
      <c r="B33" s="129"/>
      <c r="C33" s="145">
        <f>'In Produk'!B7</f>
        <v>2</v>
      </c>
      <c r="D33" s="141" t="str">
        <f>'In Produk'!C7</f>
        <v>kertas HVS A4</v>
      </c>
      <c r="E33" s="142"/>
      <c r="F33" s="143"/>
      <c r="G33" s="144">
        <f>'In Produk'!G7</f>
        <v>55000</v>
      </c>
      <c r="H33" s="145">
        <f>'In Produk'!H7</f>
        <v>25</v>
      </c>
      <c r="I33" s="146">
        <f>'In Produk'!I7</f>
        <v>1375000</v>
      </c>
    </row>
    <row r="34" spans="2:9" ht="15.75">
      <c r="B34" s="129"/>
      <c r="C34" s="145">
        <f>'In Produk'!B8</f>
        <v>3</v>
      </c>
      <c r="D34" s="141" t="str">
        <f>'In Produk'!C8</f>
        <v>kertas HVS F4</v>
      </c>
      <c r="E34" s="142"/>
      <c r="F34" s="143"/>
      <c r="G34" s="144">
        <f>'In Produk'!G8</f>
        <v>60000</v>
      </c>
      <c r="H34" s="145">
        <f>'In Produk'!H8</f>
        <v>25</v>
      </c>
      <c r="I34" s="146">
        <f>'In Produk'!I8</f>
        <v>1500000</v>
      </c>
    </row>
    <row r="35" spans="2:9" ht="15.75">
      <c r="B35" s="129"/>
      <c r="C35" s="145">
        <f>'In Produk'!B9</f>
        <v>4</v>
      </c>
      <c r="D35" s="141" t="str">
        <f>'In Produk'!C9</f>
        <v>Kertas Manila</v>
      </c>
      <c r="E35" s="142"/>
      <c r="F35" s="143"/>
      <c r="G35" s="144">
        <f>'In Produk'!G9</f>
        <v>3000</v>
      </c>
      <c r="H35" s="145">
        <f>'In Produk'!H9</f>
        <v>23</v>
      </c>
      <c r="I35" s="146">
        <f>'In Produk'!I9</f>
        <v>69000</v>
      </c>
    </row>
    <row r="36" spans="2:9" ht="15.75">
      <c r="B36" s="129"/>
      <c r="C36" s="145">
        <f>'In Produk'!B10</f>
        <v>5</v>
      </c>
      <c r="D36" s="141" t="str">
        <f>'In Produk'!C10</f>
        <v>Kertas lipat</v>
      </c>
      <c r="E36" s="142"/>
      <c r="F36" s="143"/>
      <c r="G36" s="144">
        <f>'In Produk'!G10</f>
        <v>15000</v>
      </c>
      <c r="H36" s="145">
        <f>'In Produk'!H10</f>
        <v>12</v>
      </c>
      <c r="I36" s="146">
        <f>'In Produk'!I10</f>
        <v>180000</v>
      </c>
    </row>
    <row r="37" spans="2:9" ht="15.75">
      <c r="B37" s="129"/>
      <c r="C37" s="145">
        <f>'In Produk'!B11</f>
        <v>6</v>
      </c>
      <c r="D37" s="141" t="str">
        <f>'In Produk'!C11</f>
        <v>Kertas cover ukuran kwarto/A4</v>
      </c>
      <c r="E37" s="142"/>
      <c r="F37" s="143"/>
      <c r="G37" s="144">
        <f>'In Produk'!G11</f>
        <v>56000</v>
      </c>
      <c r="H37" s="145">
        <f>'In Produk'!H11</f>
        <v>30</v>
      </c>
      <c r="I37" s="146">
        <f>'In Produk'!I11</f>
        <v>1680000</v>
      </c>
    </row>
    <row r="38" spans="2:9" ht="15.75">
      <c r="B38" s="129"/>
      <c r="C38" s="145">
        <f>'In Produk'!B12</f>
        <v>7</v>
      </c>
      <c r="D38" s="141" t="str">
        <f>'In Produk'!C12</f>
        <v>Kertas cover ukuran folio warna</v>
      </c>
      <c r="E38" s="142"/>
      <c r="F38" s="143"/>
      <c r="G38" s="144">
        <f>'In Produk'!G12</f>
        <v>60000</v>
      </c>
      <c r="H38" s="145">
        <f>'In Produk'!H12</f>
        <v>30</v>
      </c>
      <c r="I38" s="146">
        <f>'In Produk'!I12</f>
        <v>1800000</v>
      </c>
    </row>
    <row r="39" spans="2:9" ht="15.75">
      <c r="B39" s="129"/>
      <c r="C39" s="145">
        <f>'In Produk'!B13</f>
        <v>8</v>
      </c>
      <c r="D39" s="141" t="str">
        <f>'In Produk'!C13</f>
        <v>Cover dari Plastik</v>
      </c>
      <c r="E39" s="142"/>
      <c r="F39" s="143"/>
      <c r="G39" s="144">
        <f>'In Produk'!G13</f>
        <v>48000</v>
      </c>
      <c r="H39" s="145">
        <f>'In Produk'!H13</f>
        <v>10</v>
      </c>
      <c r="I39" s="146">
        <f>'In Produk'!I13</f>
        <v>480000</v>
      </c>
    </row>
    <row r="40" spans="2:9" ht="15.75">
      <c r="B40" s="129"/>
      <c r="C40" s="145">
        <f>'In Produk'!B14</f>
        <v>9</v>
      </c>
      <c r="D40" s="141" t="str">
        <f>'In Produk'!C14</f>
        <v>Amplop Besar</v>
      </c>
      <c r="E40" s="142"/>
      <c r="F40" s="143"/>
      <c r="G40" s="144">
        <f>'In Produk'!G14</f>
        <v>31000</v>
      </c>
      <c r="H40" s="145">
        <f>'In Produk'!H14</f>
        <v>10</v>
      </c>
      <c r="I40" s="146">
        <f>'In Produk'!I14</f>
        <v>310000</v>
      </c>
    </row>
    <row r="41" spans="2:9" ht="15.75">
      <c r="B41" s="129"/>
      <c r="C41" s="145">
        <f>'In Produk'!B15</f>
        <v>10</v>
      </c>
      <c r="D41" s="141" t="str">
        <f>'In Produk'!C15</f>
        <v>Amplop Kecil</v>
      </c>
      <c r="E41" s="142"/>
      <c r="F41" s="143"/>
      <c r="G41" s="144">
        <f>'In Produk'!G15</f>
        <v>25000</v>
      </c>
      <c r="H41" s="145">
        <f>'In Produk'!H15</f>
        <v>10</v>
      </c>
      <c r="I41" s="146">
        <f>'In Produk'!I15</f>
        <v>250000</v>
      </c>
    </row>
    <row r="42" spans="2:9" ht="15.75">
      <c r="B42" s="129"/>
      <c r="C42" s="145">
        <f>'In Produk'!B16</f>
        <v>11</v>
      </c>
      <c r="D42" s="141" t="str">
        <f>'In Produk'!C16</f>
        <v>Amplop Coklat</v>
      </c>
      <c r="E42" s="142"/>
      <c r="F42" s="143"/>
      <c r="G42" s="144">
        <f>'In Produk'!G16</f>
        <v>28000</v>
      </c>
      <c r="H42" s="145">
        <f>'In Produk'!H16</f>
        <v>10</v>
      </c>
      <c r="I42" s="146">
        <f>'In Produk'!I16</f>
        <v>280000</v>
      </c>
    </row>
    <row r="43" spans="2:9" ht="15.75">
      <c r="B43" s="129"/>
      <c r="C43" s="145">
        <f>'In Produk'!B17</f>
        <v>12</v>
      </c>
      <c r="D43" s="141" t="str">
        <f>'In Produk'!C17</f>
        <v>Kertas buffalo</v>
      </c>
      <c r="E43" s="142"/>
      <c r="F43" s="143"/>
      <c r="G43" s="144">
        <f>'In Produk'!G17</f>
        <v>40000</v>
      </c>
      <c r="H43" s="145">
        <f>'In Produk'!H17</f>
        <v>10</v>
      </c>
      <c r="I43" s="146">
        <f>'In Produk'!I17</f>
        <v>400000</v>
      </c>
    </row>
    <row r="44" spans="2:9" ht="15.75">
      <c r="B44" s="129"/>
      <c r="C44" s="145">
        <f>'In Produk'!B18</f>
        <v>13</v>
      </c>
      <c r="D44" s="141" t="str">
        <f>'In Produk'!C18</f>
        <v>Tinta printer Epson</v>
      </c>
      <c r="E44" s="142"/>
      <c r="F44" s="143"/>
      <c r="G44" s="144">
        <f>'In Produk'!G18</f>
        <v>150000</v>
      </c>
      <c r="H44" s="145">
        <f>'In Produk'!H18</f>
        <v>30</v>
      </c>
      <c r="I44" s="146">
        <f>'In Produk'!I18</f>
        <v>4500000</v>
      </c>
    </row>
    <row r="45" spans="2:9" ht="15.75">
      <c r="B45" s="129"/>
      <c r="C45" s="145">
        <f>'In Produk'!B19</f>
        <v>14</v>
      </c>
      <c r="D45" s="141" t="str">
        <f>'In Produk'!C19</f>
        <v>Tinta Printer Brother</v>
      </c>
      <c r="E45" s="142"/>
      <c r="F45" s="143"/>
      <c r="G45" s="144">
        <f>'In Produk'!G19</f>
        <v>150000</v>
      </c>
      <c r="H45" s="145">
        <f>'In Produk'!H19</f>
        <v>10</v>
      </c>
      <c r="I45" s="146">
        <f>'In Produk'!I19</f>
        <v>1500000</v>
      </c>
    </row>
    <row r="46" spans="2:9" ht="15.75">
      <c r="B46" s="129"/>
      <c r="C46" s="145">
        <f>'In Produk'!B20</f>
        <v>15</v>
      </c>
      <c r="D46" s="141" t="str">
        <f>'In Produk'!C20</f>
        <v>Mouse</v>
      </c>
      <c r="E46" s="142"/>
      <c r="F46" s="143"/>
      <c r="G46" s="144">
        <f>'In Produk'!G20</f>
        <v>150000</v>
      </c>
      <c r="H46" s="145">
        <f>'In Produk'!H20</f>
        <v>2</v>
      </c>
      <c r="I46" s="146">
        <f>'In Produk'!I20</f>
        <v>300000</v>
      </c>
    </row>
    <row r="47" spans="2:9" ht="15.75">
      <c r="B47" s="129"/>
      <c r="C47" s="145">
        <f>'In Produk'!B21</f>
        <v>16</v>
      </c>
      <c r="D47" s="141" t="str">
        <f>'In Produk'!C21</f>
        <v>Bantalan Mouse</v>
      </c>
      <c r="E47" s="142"/>
      <c r="F47" s="143"/>
      <c r="G47" s="144">
        <f>'In Produk'!G21</f>
        <v>25000</v>
      </c>
      <c r="H47" s="145">
        <f>'In Produk'!H21</f>
        <v>2</v>
      </c>
      <c r="I47" s="146">
        <f>'In Produk'!I21</f>
        <v>50000</v>
      </c>
    </row>
    <row r="48" spans="2:9" ht="15.75">
      <c r="B48" s="129"/>
      <c r="C48" s="145">
        <f>'In Produk'!B22</f>
        <v>17</v>
      </c>
      <c r="D48" s="141" t="str">
        <f>'In Produk'!C22</f>
        <v>Lakban Bening 5 cm</v>
      </c>
      <c r="E48" s="142"/>
      <c r="F48" s="143"/>
      <c r="G48" s="144">
        <f>'In Produk'!G22</f>
        <v>15000</v>
      </c>
      <c r="H48" s="145">
        <f>'In Produk'!H22</f>
        <v>10</v>
      </c>
      <c r="I48" s="146">
        <f>'In Produk'!I22</f>
        <v>150000</v>
      </c>
    </row>
    <row r="49" spans="2:10" ht="15.75">
      <c r="B49" s="129"/>
      <c r="C49" s="147"/>
      <c r="D49" s="148"/>
      <c r="E49" s="142"/>
      <c r="F49" s="142"/>
      <c r="G49" s="149"/>
      <c r="H49" s="150" t="s">
        <v>124</v>
      </c>
      <c r="I49" s="151">
        <f>SUM(I32:I48)</f>
        <v>15000000</v>
      </c>
      <c r="J49" s="14">
        <f>I49/1.11*11%</f>
        <v>1486486.4864864864</v>
      </c>
    </row>
    <row r="50" spans="2:10" ht="15.75">
      <c r="B50" s="129"/>
      <c r="C50" s="147"/>
      <c r="D50" s="148"/>
      <c r="E50" s="142"/>
      <c r="F50" s="142"/>
      <c r="G50" s="149"/>
      <c r="H50" s="150" t="s">
        <v>139</v>
      </c>
      <c r="I50" s="151">
        <f>'In Produk'!I36</f>
        <v>1486486.4864864864</v>
      </c>
    </row>
    <row r="51" spans="2:10" ht="15.75">
      <c r="B51" s="129"/>
      <c r="C51" s="147"/>
      <c r="D51" s="148"/>
      <c r="E51" s="142"/>
      <c r="F51" s="142"/>
      <c r="G51" s="149"/>
      <c r="H51" s="150" t="s">
        <v>10</v>
      </c>
      <c r="I51" s="151">
        <f>'In Produk'!I37</f>
        <v>0</v>
      </c>
    </row>
    <row r="52" spans="2:10" ht="15.75">
      <c r="B52" s="129"/>
      <c r="C52" s="147"/>
      <c r="D52" s="148"/>
      <c r="E52" s="142"/>
      <c r="F52" s="142"/>
      <c r="G52" s="149"/>
      <c r="H52" s="150" t="s">
        <v>11</v>
      </c>
      <c r="I52" s="151">
        <f>'In Produk'!I38</f>
        <v>0</v>
      </c>
    </row>
    <row r="53" spans="2:10" ht="15.75">
      <c r="B53" s="129"/>
      <c r="C53" s="147"/>
      <c r="D53" s="148"/>
      <c r="E53" s="142"/>
      <c r="F53" s="142"/>
      <c r="G53" s="149"/>
      <c r="H53" s="150" t="s">
        <v>140</v>
      </c>
      <c r="I53" s="151">
        <f>'In Produk'!I39</f>
        <v>13513513.513513513</v>
      </c>
    </row>
    <row r="54" spans="2:10" ht="15.75">
      <c r="B54" s="129"/>
      <c r="C54" s="130"/>
      <c r="D54" s="138"/>
      <c r="E54" s="133"/>
      <c r="F54" s="133"/>
      <c r="G54" s="131"/>
      <c r="H54" s="131"/>
      <c r="I54" s="53"/>
    </row>
    <row r="55" spans="2:10" ht="15.75">
      <c r="B55" s="129"/>
      <c r="C55" s="53" t="s">
        <v>141</v>
      </c>
      <c r="D55" s="152"/>
      <c r="E55" s="152"/>
      <c r="F55" s="152"/>
      <c r="G55" s="152"/>
      <c r="H55" s="152"/>
      <c r="I55" s="53"/>
    </row>
    <row r="56" spans="2:10" ht="15.75">
      <c r="B56" s="129"/>
      <c r="C56" s="53" t="s">
        <v>142</v>
      </c>
      <c r="D56" s="53"/>
      <c r="E56" s="53" t="s">
        <v>102</v>
      </c>
      <c r="F56" s="53" t="str">
        <f>'In Data'!F9</f>
        <v>Selasa</v>
      </c>
      <c r="G56" s="53"/>
      <c r="H56" s="53"/>
      <c r="I56" s="53"/>
    </row>
    <row r="57" spans="2:10" ht="15.75">
      <c r="B57" s="129"/>
      <c r="C57" s="53" t="s">
        <v>143</v>
      </c>
      <c r="D57" s="53"/>
      <c r="E57" s="53" t="s">
        <v>102</v>
      </c>
      <c r="F57" s="301" t="str">
        <f>'In Data'!E9</f>
        <v>03 Februari 2026</v>
      </c>
      <c r="G57" s="53"/>
      <c r="H57" s="53"/>
      <c r="I57" s="53"/>
    </row>
    <row r="58" spans="2:10" ht="15.75">
      <c r="B58" s="129"/>
      <c r="C58" s="53"/>
      <c r="D58" s="53"/>
      <c r="E58" s="53"/>
      <c r="F58" s="53"/>
      <c r="G58" s="53"/>
      <c r="H58" s="53"/>
      <c r="I58" s="53"/>
    </row>
    <row r="59" spans="2:10" ht="15.75">
      <c r="B59" s="129"/>
      <c r="C59" s="53" t="s">
        <v>144</v>
      </c>
      <c r="D59" s="53"/>
      <c r="E59" s="53"/>
      <c r="F59" s="53"/>
      <c r="G59" s="53"/>
      <c r="H59" s="53"/>
      <c r="I59" s="53"/>
    </row>
    <row r="60" spans="2:10" ht="15.75">
      <c r="B60" s="129"/>
      <c r="C60" s="53"/>
      <c r="D60" s="53"/>
      <c r="E60" s="53"/>
      <c r="F60" s="53"/>
      <c r="G60" s="53"/>
      <c r="H60" s="53"/>
      <c r="I60" s="53"/>
    </row>
    <row r="61" spans="2:10" ht="15.75">
      <c r="B61" s="129"/>
      <c r="C61" s="53"/>
      <c r="D61" s="53"/>
      <c r="E61" s="53"/>
      <c r="F61" s="53"/>
      <c r="G61" s="53" t="s">
        <v>326</v>
      </c>
      <c r="H61" s="53"/>
      <c r="I61" s="53"/>
    </row>
    <row r="62" spans="2:10" ht="15.75">
      <c r="B62" s="129"/>
      <c r="C62" s="53"/>
      <c r="D62" s="53"/>
      <c r="E62" s="53"/>
      <c r="F62" s="53"/>
      <c r="G62" s="53"/>
      <c r="H62" s="53"/>
      <c r="I62" s="53"/>
    </row>
    <row r="63" spans="2:10" ht="15.75">
      <c r="B63" s="129"/>
      <c r="C63" s="53"/>
      <c r="D63" s="53"/>
      <c r="E63" s="53"/>
      <c r="F63" s="53"/>
      <c r="G63" s="53"/>
      <c r="H63" s="53"/>
      <c r="I63" s="53"/>
    </row>
    <row r="64" spans="2:10" ht="15.75">
      <c r="B64" s="129"/>
      <c r="C64" s="53"/>
      <c r="D64" s="53"/>
      <c r="E64" s="53"/>
      <c r="F64" s="53"/>
      <c r="G64" s="53"/>
      <c r="H64" s="53"/>
      <c r="I64" s="53"/>
    </row>
    <row r="65" spans="2:9" ht="15.75">
      <c r="B65" s="129"/>
      <c r="C65" s="53"/>
      <c r="D65" s="53"/>
      <c r="E65" s="53"/>
      <c r="F65" s="53"/>
      <c r="G65" s="53"/>
      <c r="H65" s="53"/>
      <c r="I65" s="53"/>
    </row>
    <row r="66" spans="2:9" ht="15.75">
      <c r="B66" s="129"/>
      <c r="C66" s="53"/>
      <c r="D66" s="53"/>
      <c r="E66" s="53"/>
      <c r="F66" s="53"/>
      <c r="G66" s="153" t="str">
        <f>'In Data'!C26</f>
        <v>Fitri Yurnita, S.Pd</v>
      </c>
      <c r="H66" s="53"/>
      <c r="I66" s="53"/>
    </row>
    <row r="67" spans="2:9" ht="15.75">
      <c r="B67" s="129"/>
      <c r="C67" s="53"/>
      <c r="D67" s="53"/>
      <c r="E67" s="53"/>
      <c r="F67" s="53"/>
      <c r="G67" s="153" t="str">
        <f>"NIP. "&amp;'In Data'!C27&amp;""</f>
        <v>NIP. 198008142009032002</v>
      </c>
      <c r="H67" s="53"/>
      <c r="I67" s="53"/>
    </row>
  </sheetData>
  <mergeCells count="17">
    <mergeCell ref="F21:I21"/>
    <mergeCell ref="F27:I27"/>
    <mergeCell ref="D29:H29"/>
    <mergeCell ref="C30:I30"/>
    <mergeCell ref="D31:F31"/>
    <mergeCell ref="C16:I16"/>
    <mergeCell ref="C3:I3"/>
    <mergeCell ref="C4:I4"/>
    <mergeCell ref="C5:I5"/>
    <mergeCell ref="C6:I6"/>
    <mergeCell ref="C8:I8"/>
    <mergeCell ref="C10:I10"/>
    <mergeCell ref="C11:I11"/>
    <mergeCell ref="C12:I12"/>
    <mergeCell ref="C14:I14"/>
    <mergeCell ref="C15:I15"/>
    <mergeCell ref="C7:I7"/>
  </mergeCells>
  <pageMargins left="1.299212598425197" right="0.70866141732283472" top="0.74803149606299213" bottom="0.74803149606299213" header="0.31496062992125984" footer="0.31496062992125984"/>
  <pageSetup paperSize="14" scale="7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10F0-CECF-44F3-9F22-970DEB7104A1}">
  <dimension ref="C2:K67"/>
  <sheetViews>
    <sheetView showGridLines="0" tabSelected="1" zoomScaleNormal="100" workbookViewId="0">
      <selection activeCell="M37" sqref="M37"/>
    </sheetView>
  </sheetViews>
  <sheetFormatPr defaultRowHeight="15"/>
  <cols>
    <col min="3" max="3" width="7.140625" customWidth="1"/>
    <col min="4" max="4" width="47.140625" customWidth="1"/>
    <col min="5" max="5" width="0.85546875" customWidth="1"/>
    <col min="6" max="6" width="14.5703125" customWidth="1"/>
    <col min="7" max="7" width="17.42578125" customWidth="1"/>
    <col min="8" max="8" width="10" customWidth="1"/>
    <col min="9" max="9" width="7.140625" customWidth="1"/>
    <col min="10" max="10" width="8" customWidth="1"/>
    <col min="11" max="11" width="3.140625" customWidth="1"/>
  </cols>
  <sheetData>
    <row r="2" spans="3:11" ht="15.75">
      <c r="C2" s="333" t="str">
        <f>'In Data'!C15</f>
        <v>PEMERINTAH DAERAH PROVINSI JAWA BARAT</v>
      </c>
      <c r="D2" s="333"/>
      <c r="E2" s="333"/>
      <c r="F2" s="333"/>
      <c r="G2" s="333"/>
      <c r="H2" s="333"/>
      <c r="I2" s="333"/>
      <c r="J2" s="333"/>
      <c r="K2" s="154"/>
    </row>
    <row r="3" spans="3:11" ht="18.75">
      <c r="C3" s="333" t="str">
        <f>'In Data'!C16</f>
        <v>DINAS PENDIDIKAN</v>
      </c>
      <c r="D3" s="333"/>
      <c r="E3" s="333"/>
      <c r="F3" s="333"/>
      <c r="G3" s="333"/>
      <c r="H3" s="333"/>
      <c r="I3" s="333"/>
      <c r="J3" s="333"/>
      <c r="K3" s="155"/>
    </row>
    <row r="4" spans="3:11" ht="18.75" customHeight="1">
      <c r="C4" s="333" t="str">
        <f>'In Data'!C17</f>
        <v>CABANG DINAS PENDIDIKAN WILAYAH VI</v>
      </c>
      <c r="D4" s="333"/>
      <c r="E4" s="333"/>
      <c r="F4" s="333"/>
      <c r="G4" s="333"/>
      <c r="H4" s="333"/>
      <c r="I4" s="333"/>
      <c r="J4" s="333"/>
      <c r="K4" s="112"/>
    </row>
    <row r="5" spans="3:11" ht="20.25">
      <c r="C5" s="345" t="str">
        <f>'In Data'!C18</f>
        <v xml:space="preserve">SMA NEGERI 1 PAGELARAN </v>
      </c>
      <c r="D5" s="345"/>
      <c r="E5" s="345"/>
      <c r="F5" s="345"/>
      <c r="G5" s="345"/>
      <c r="H5" s="345"/>
      <c r="I5" s="345"/>
      <c r="J5" s="345"/>
      <c r="K5" s="111"/>
    </row>
    <row r="6" spans="3:11" ht="15.75">
      <c r="C6" s="335" t="str">
        <f>'In Data'!C20</f>
        <v>Tlp.(0263) 236150  e-mail : smanpagelaran@gmail.com</v>
      </c>
      <c r="D6" s="335"/>
      <c r="E6" s="335"/>
      <c r="F6" s="335"/>
      <c r="G6" s="335"/>
      <c r="H6" s="335"/>
      <c r="I6" s="335"/>
      <c r="J6" s="335"/>
      <c r="K6" s="111"/>
    </row>
    <row r="7" spans="3:11" ht="16.5" thickBot="1">
      <c r="C7" s="332" t="str">
        <f>'In Data'!C21</f>
        <v>Jalan Raya Pagelaran Kp. Cibeureum Desa Sindangkerta Rt. 06/Rw. 07  Pagelaran – Cianjur 43266</v>
      </c>
      <c r="D7" s="332"/>
      <c r="E7" s="332"/>
      <c r="F7" s="332"/>
      <c r="G7" s="332"/>
      <c r="H7" s="332"/>
      <c r="I7" s="332"/>
      <c r="J7" s="332"/>
      <c r="K7" s="111"/>
    </row>
    <row r="8" spans="3:11" ht="16.5" thickTop="1">
      <c r="C8" s="111"/>
      <c r="D8" s="111"/>
      <c r="E8" s="111"/>
      <c r="F8" s="111"/>
      <c r="G8" s="111"/>
      <c r="H8" s="111"/>
      <c r="I8" s="111"/>
      <c r="J8" s="111"/>
      <c r="K8" s="111"/>
    </row>
    <row r="9" spans="3:11" ht="15.75">
      <c r="C9" s="337" t="s">
        <v>145</v>
      </c>
      <c r="D9" s="337"/>
      <c r="E9" s="337"/>
      <c r="F9" s="337"/>
      <c r="G9" s="337"/>
      <c r="H9" s="337"/>
      <c r="I9" s="337"/>
      <c r="J9" s="337"/>
      <c r="K9" s="156"/>
    </row>
    <row r="10" spans="3:11" ht="15.75">
      <c r="C10" s="337" t="str">
        <f>'In Data'!C8</f>
        <v>900/......../SMAN.01/CADISDIKWIL.VI/......./2026</v>
      </c>
      <c r="D10" s="337"/>
      <c r="E10" s="337"/>
      <c r="F10" s="337"/>
      <c r="G10" s="337"/>
      <c r="H10" s="337"/>
      <c r="I10" s="337"/>
      <c r="J10" s="337"/>
      <c r="K10" s="156"/>
    </row>
    <row r="11" spans="3:11" ht="15.75">
      <c r="C11" s="93"/>
      <c r="D11" s="93"/>
      <c r="E11" s="128"/>
      <c r="F11" s="93"/>
      <c r="G11" s="93"/>
      <c r="H11" s="93"/>
      <c r="I11" s="93"/>
      <c r="J11" s="93"/>
      <c r="K11" s="156"/>
    </row>
    <row r="12" spans="3:11" ht="15.75">
      <c r="C12" s="93" t="e">
        <f ca="1">"Pada hari ini, "&amp;'In Data'!F8&amp;" tanggal "&amp;'In Data'!H8&amp;" bulan "&amp;'In Data'!I8&amp;" tahun "&amp;'In Data'!K8&amp;" sesuai dengan :"</f>
        <v>#NAME?</v>
      </c>
      <c r="D12" s="93"/>
      <c r="E12" s="128"/>
      <c r="F12" s="93"/>
      <c r="G12" s="93"/>
      <c r="H12" s="93"/>
      <c r="I12" s="93"/>
      <c r="J12" s="93"/>
      <c r="K12" s="156"/>
    </row>
    <row r="13" spans="3:11" ht="15.75">
      <c r="C13" s="93" t="s">
        <v>146</v>
      </c>
      <c r="D13" s="93"/>
      <c r="E13" s="157" t="s">
        <v>102</v>
      </c>
      <c r="F13" s="158" t="str">
        <f>'In Data'!C7</f>
        <v>900/......../SMAN.01/CADISDIKWIL.VI/......./2026</v>
      </c>
      <c r="G13" s="93"/>
      <c r="H13" s="93"/>
      <c r="I13" s="93"/>
      <c r="J13" s="93"/>
      <c r="K13" s="156"/>
    </row>
    <row r="14" spans="3:11" ht="15.75">
      <c r="C14" s="93" t="s">
        <v>143</v>
      </c>
      <c r="D14" s="93"/>
      <c r="E14" s="157" t="s">
        <v>102</v>
      </c>
      <c r="F14" s="158" t="str">
        <f>'In Data'!E7</f>
        <v>02 Februari 2026</v>
      </c>
      <c r="G14" s="93"/>
      <c r="H14" s="93"/>
      <c r="I14" s="93"/>
      <c r="J14" s="93"/>
      <c r="K14" s="156"/>
    </row>
    <row r="15" spans="3:11" ht="15.75">
      <c r="C15" s="93" t="s">
        <v>147</v>
      </c>
      <c r="D15" s="93"/>
      <c r="E15" s="157" t="s">
        <v>102</v>
      </c>
      <c r="F15" s="93" t="str">
        <f>'In Data'!C38</f>
        <v>Belanja Alat Tulis Kantor</v>
      </c>
      <c r="G15" s="93"/>
      <c r="H15" s="93"/>
      <c r="I15" s="93"/>
      <c r="J15" s="93"/>
      <c r="K15" s="156"/>
    </row>
    <row r="16" spans="3:11" ht="15.75">
      <c r="C16" s="93" t="s">
        <v>148</v>
      </c>
      <c r="D16" s="93"/>
      <c r="E16" s="157" t="s">
        <v>102</v>
      </c>
      <c r="F16" s="157">
        <f>'In Data'!C49</f>
        <v>2026</v>
      </c>
      <c r="G16" s="93"/>
      <c r="H16" s="93"/>
      <c r="I16" s="93"/>
      <c r="J16" s="93"/>
      <c r="K16" s="156"/>
    </row>
    <row r="17" spans="3:11" ht="15.75">
      <c r="C17" s="93"/>
      <c r="D17" s="93"/>
      <c r="E17" s="128"/>
      <c r="F17" s="93"/>
      <c r="G17" s="93"/>
      <c r="H17" s="93"/>
      <c r="I17" s="93"/>
      <c r="J17" s="93"/>
      <c r="K17" s="156"/>
    </row>
    <row r="18" spans="3:11" ht="15.75">
      <c r="C18" s="93" t="s">
        <v>149</v>
      </c>
      <c r="D18" s="93"/>
      <c r="E18" s="128"/>
      <c r="F18" s="93"/>
      <c r="G18" s="93"/>
      <c r="H18" s="93"/>
      <c r="I18" s="93"/>
      <c r="J18" s="93"/>
      <c r="K18" s="156"/>
    </row>
    <row r="19" spans="3:11" ht="15.75">
      <c r="C19" s="93" t="s">
        <v>130</v>
      </c>
      <c r="D19" s="93"/>
      <c r="E19" s="157" t="s">
        <v>102</v>
      </c>
      <c r="F19" s="93" t="str">
        <f>'In Data'!C26</f>
        <v>Fitri Yurnita, S.Pd</v>
      </c>
      <c r="G19" s="93"/>
      <c r="H19" s="93"/>
      <c r="I19" s="93"/>
      <c r="J19" s="93"/>
      <c r="K19" s="156"/>
    </row>
    <row r="20" spans="3:11" ht="15.75">
      <c r="C20" s="93" t="s">
        <v>131</v>
      </c>
      <c r="D20" s="93"/>
      <c r="E20" s="157" t="s">
        <v>102</v>
      </c>
      <c r="F20" s="93" t="s">
        <v>326</v>
      </c>
      <c r="G20" s="93"/>
      <c r="H20" s="93"/>
      <c r="I20" s="93"/>
      <c r="J20" s="93"/>
      <c r="K20" s="156"/>
    </row>
    <row r="21" spans="3:11" ht="15.75">
      <c r="C21" s="93" t="s">
        <v>150</v>
      </c>
      <c r="D21" s="93"/>
      <c r="E21" s="157" t="s">
        <v>102</v>
      </c>
      <c r="F21" s="93" t="str">
        <f>'In Data'!C18</f>
        <v xml:space="preserve">SMA NEGERI 1 PAGELARAN </v>
      </c>
      <c r="G21" s="93"/>
      <c r="H21" s="93"/>
      <c r="I21" s="93"/>
      <c r="J21" s="93"/>
      <c r="K21" s="156"/>
    </row>
    <row r="22" spans="3:11" ht="32.25" customHeight="1">
      <c r="C22" s="94" t="s">
        <v>151</v>
      </c>
      <c r="D22" s="94"/>
      <c r="E22" s="159" t="s">
        <v>102</v>
      </c>
      <c r="F22" s="339" t="str">
        <f>'In Data'!C21</f>
        <v>Jalan Raya Pagelaran Kp. Cibeureum Desa Sindangkerta Rt. 06/Rw. 07  Pagelaran – Cianjur 43266</v>
      </c>
      <c r="G22" s="339"/>
      <c r="H22" s="339"/>
      <c r="I22" s="339"/>
      <c r="J22" s="339"/>
      <c r="K22" s="156"/>
    </row>
    <row r="23" spans="3:11" ht="15.75">
      <c r="C23" s="93"/>
      <c r="D23" s="93"/>
      <c r="E23" s="93"/>
      <c r="F23" s="128"/>
      <c r="G23" s="93"/>
      <c r="H23" s="93"/>
      <c r="I23" s="93"/>
      <c r="J23" s="93"/>
      <c r="K23" s="156"/>
    </row>
    <row r="24" spans="3:11" ht="30.75" customHeight="1">
      <c r="C24" s="339" t="s">
        <v>152</v>
      </c>
      <c r="D24" s="339"/>
      <c r="E24" s="339"/>
      <c r="F24" s="339"/>
      <c r="G24" s="339"/>
      <c r="H24" s="339"/>
      <c r="I24" s="339"/>
      <c r="J24" s="339"/>
      <c r="K24" s="156"/>
    </row>
    <row r="25" spans="3:11" ht="15.75">
      <c r="C25" s="93"/>
      <c r="D25" s="93"/>
      <c r="E25" s="93"/>
      <c r="F25" s="128"/>
      <c r="G25" s="93"/>
      <c r="H25" s="93"/>
      <c r="I25" s="93"/>
      <c r="J25" s="93"/>
      <c r="K25" s="156"/>
    </row>
    <row r="26" spans="3:11" ht="15.75">
      <c r="C26" s="356" t="s">
        <v>153</v>
      </c>
      <c r="D26" s="356" t="s">
        <v>154</v>
      </c>
      <c r="E26" s="160"/>
      <c r="F26" s="357" t="s">
        <v>155</v>
      </c>
      <c r="G26" s="359" t="s">
        <v>156</v>
      </c>
      <c r="H26" s="360" t="s">
        <v>157</v>
      </c>
      <c r="I26" s="361"/>
      <c r="J26" s="362"/>
      <c r="K26" s="156"/>
    </row>
    <row r="27" spans="3:11" ht="15.75">
      <c r="C27" s="356"/>
      <c r="D27" s="356"/>
      <c r="E27" s="161"/>
      <c r="F27" s="358"/>
      <c r="G27" s="359"/>
      <c r="H27" s="117" t="s">
        <v>158</v>
      </c>
      <c r="I27" s="117" t="s">
        <v>159</v>
      </c>
      <c r="J27" s="117" t="s">
        <v>160</v>
      </c>
      <c r="K27" s="156"/>
    </row>
    <row r="28" spans="3:11" ht="15.75">
      <c r="C28" s="162">
        <f>'In Produk'!B6</f>
        <v>1</v>
      </c>
      <c r="D28" s="121" t="str">
        <f>'In Produk'!C6</f>
        <v>Kertas Karton</v>
      </c>
      <c r="E28" s="122"/>
      <c r="F28" s="163">
        <f>'In Produk'!H6</f>
        <v>44</v>
      </c>
      <c r="G28" s="121"/>
      <c r="H28" s="121"/>
      <c r="I28" s="121"/>
      <c r="J28" s="121"/>
      <c r="K28" s="156"/>
    </row>
    <row r="29" spans="3:11" ht="14.25" customHeight="1">
      <c r="C29" s="162">
        <f>'In Produk'!B7</f>
        <v>2</v>
      </c>
      <c r="D29" s="121" t="str">
        <f>'In Produk'!C7</f>
        <v>kertas HVS A4</v>
      </c>
      <c r="E29" s="122"/>
      <c r="F29" s="163">
        <f>'In Produk'!H7</f>
        <v>25</v>
      </c>
      <c r="G29" s="121"/>
      <c r="H29" s="121"/>
      <c r="I29" s="121"/>
      <c r="J29" s="121"/>
      <c r="K29" s="156"/>
    </row>
    <row r="30" spans="3:11" ht="14.25" customHeight="1">
      <c r="C30" s="162">
        <f>'In Produk'!B8</f>
        <v>3</v>
      </c>
      <c r="D30" s="121" t="str">
        <f>'In Produk'!C8</f>
        <v>kertas HVS F4</v>
      </c>
      <c r="E30" s="122"/>
      <c r="F30" s="163">
        <f>'In Produk'!H8</f>
        <v>25</v>
      </c>
      <c r="G30" s="121"/>
      <c r="H30" s="121"/>
      <c r="I30" s="121"/>
      <c r="J30" s="121"/>
      <c r="K30" s="156"/>
    </row>
    <row r="31" spans="3:11" ht="14.25" customHeight="1">
      <c r="C31" s="162">
        <f>'In Produk'!B9</f>
        <v>4</v>
      </c>
      <c r="D31" s="121" t="str">
        <f>'In Produk'!C9</f>
        <v>Kertas Manila</v>
      </c>
      <c r="E31" s="122"/>
      <c r="F31" s="163">
        <f>'In Produk'!H9</f>
        <v>23</v>
      </c>
      <c r="G31" s="121"/>
      <c r="H31" s="121"/>
      <c r="I31" s="121"/>
      <c r="J31" s="121"/>
      <c r="K31" s="156"/>
    </row>
    <row r="32" spans="3:11" ht="14.25" customHeight="1">
      <c r="C32" s="162">
        <f>'In Produk'!B10</f>
        <v>5</v>
      </c>
      <c r="D32" s="121" t="str">
        <f>'In Produk'!C10</f>
        <v>Kertas lipat</v>
      </c>
      <c r="E32" s="122"/>
      <c r="F32" s="163">
        <f>'In Produk'!H10</f>
        <v>12</v>
      </c>
      <c r="G32" s="121"/>
      <c r="H32" s="121"/>
      <c r="I32" s="121"/>
      <c r="J32" s="121"/>
      <c r="K32" s="156"/>
    </row>
    <row r="33" spans="3:11" ht="14.25" customHeight="1">
      <c r="C33" s="162">
        <f>'In Produk'!B11</f>
        <v>6</v>
      </c>
      <c r="D33" s="121" t="str">
        <f>'In Produk'!C11</f>
        <v>Kertas cover ukuran kwarto/A4</v>
      </c>
      <c r="E33" s="122"/>
      <c r="F33" s="163">
        <f>'In Produk'!H11</f>
        <v>30</v>
      </c>
      <c r="G33" s="121"/>
      <c r="H33" s="121"/>
      <c r="I33" s="121"/>
      <c r="J33" s="121"/>
      <c r="K33" s="156"/>
    </row>
    <row r="34" spans="3:11" ht="14.25" customHeight="1">
      <c r="C34" s="162">
        <f>'In Produk'!B12</f>
        <v>7</v>
      </c>
      <c r="D34" s="121" t="str">
        <f>'In Produk'!C12</f>
        <v>Kertas cover ukuran folio warna</v>
      </c>
      <c r="E34" s="122"/>
      <c r="F34" s="163">
        <f>'In Produk'!H12</f>
        <v>30</v>
      </c>
      <c r="G34" s="121"/>
      <c r="H34" s="121"/>
      <c r="I34" s="121"/>
      <c r="J34" s="121"/>
      <c r="K34" s="156"/>
    </row>
    <row r="35" spans="3:11" ht="14.25" customHeight="1">
      <c r="C35" s="162">
        <f>'In Produk'!B13</f>
        <v>8</v>
      </c>
      <c r="D35" s="121" t="str">
        <f>'In Produk'!C13</f>
        <v>Cover dari Plastik</v>
      </c>
      <c r="E35" s="122"/>
      <c r="F35" s="163">
        <f>'In Produk'!H13</f>
        <v>10</v>
      </c>
      <c r="G35" s="121"/>
      <c r="H35" s="121"/>
      <c r="I35" s="121"/>
      <c r="J35" s="121"/>
      <c r="K35" s="156"/>
    </row>
    <row r="36" spans="3:11" ht="14.25" customHeight="1">
      <c r="C36" s="162">
        <f>'In Produk'!B14</f>
        <v>9</v>
      </c>
      <c r="D36" s="121" t="str">
        <f>'In Produk'!C14</f>
        <v>Amplop Besar</v>
      </c>
      <c r="E36" s="122"/>
      <c r="F36" s="163">
        <f>'In Produk'!H14</f>
        <v>10</v>
      </c>
      <c r="G36" s="121"/>
      <c r="H36" s="121"/>
      <c r="I36" s="121"/>
      <c r="J36" s="121"/>
      <c r="K36" s="156"/>
    </row>
    <row r="37" spans="3:11" ht="14.25" customHeight="1">
      <c r="C37" s="162">
        <f>'In Produk'!B15</f>
        <v>10</v>
      </c>
      <c r="D37" s="121" t="str">
        <f>'In Produk'!C15</f>
        <v>Amplop Kecil</v>
      </c>
      <c r="E37" s="122"/>
      <c r="F37" s="163">
        <f>'In Produk'!H15</f>
        <v>10</v>
      </c>
      <c r="G37" s="121"/>
      <c r="H37" s="121"/>
      <c r="I37" s="121"/>
      <c r="J37" s="121"/>
      <c r="K37" s="156"/>
    </row>
    <row r="38" spans="3:11" ht="14.25" customHeight="1">
      <c r="C38" s="162">
        <f>'In Produk'!B16</f>
        <v>11</v>
      </c>
      <c r="D38" s="121" t="str">
        <f>'In Produk'!C16</f>
        <v>Amplop Coklat</v>
      </c>
      <c r="E38" s="122"/>
      <c r="F38" s="163">
        <f>'In Produk'!H16</f>
        <v>10</v>
      </c>
      <c r="G38" s="121"/>
      <c r="H38" s="121"/>
      <c r="I38" s="121"/>
      <c r="J38" s="121"/>
      <c r="K38" s="156"/>
    </row>
    <row r="39" spans="3:11" ht="14.25" customHeight="1">
      <c r="C39" s="162">
        <f>'In Produk'!B17</f>
        <v>12</v>
      </c>
      <c r="D39" s="121" t="str">
        <f>'In Produk'!C17</f>
        <v>Kertas buffalo</v>
      </c>
      <c r="E39" s="122"/>
      <c r="F39" s="163">
        <f>'In Produk'!H17</f>
        <v>10</v>
      </c>
      <c r="G39" s="121"/>
      <c r="H39" s="121"/>
      <c r="I39" s="121"/>
      <c r="J39" s="121"/>
      <c r="K39" s="156"/>
    </row>
    <row r="40" spans="3:11" ht="14.25" customHeight="1">
      <c r="C40" s="162">
        <f>'In Produk'!B18</f>
        <v>13</v>
      </c>
      <c r="D40" s="121" t="str">
        <f>'In Produk'!C18</f>
        <v>Tinta printer Epson</v>
      </c>
      <c r="E40" s="122"/>
      <c r="F40" s="163">
        <f>'In Produk'!H18</f>
        <v>30</v>
      </c>
      <c r="G40" s="121"/>
      <c r="H40" s="121"/>
      <c r="I40" s="121"/>
      <c r="J40" s="121"/>
      <c r="K40" s="156"/>
    </row>
    <row r="41" spans="3:11" ht="14.25" customHeight="1">
      <c r="C41" s="162">
        <f>'In Produk'!B19</f>
        <v>14</v>
      </c>
      <c r="D41" s="121" t="str">
        <f>'In Produk'!C19</f>
        <v>Tinta Printer Brother</v>
      </c>
      <c r="E41" s="122"/>
      <c r="F41" s="163">
        <f>'In Produk'!H19</f>
        <v>10</v>
      </c>
      <c r="G41" s="121"/>
      <c r="H41" s="121"/>
      <c r="I41" s="121"/>
      <c r="J41" s="121"/>
      <c r="K41" s="156"/>
    </row>
    <row r="42" spans="3:11" ht="14.25" customHeight="1">
      <c r="C42" s="162">
        <f>'In Produk'!B20</f>
        <v>15</v>
      </c>
      <c r="D42" s="121" t="str">
        <f>'In Produk'!C20</f>
        <v>Mouse</v>
      </c>
      <c r="E42" s="122"/>
      <c r="F42" s="163">
        <f>'In Produk'!H20</f>
        <v>2</v>
      </c>
      <c r="G42" s="121"/>
      <c r="H42" s="121"/>
      <c r="I42" s="121"/>
      <c r="J42" s="121"/>
      <c r="K42" s="156"/>
    </row>
    <row r="43" spans="3:11" ht="14.25" customHeight="1">
      <c r="C43" s="162">
        <f>'In Produk'!B21</f>
        <v>16</v>
      </c>
      <c r="D43" s="121" t="str">
        <f>'In Produk'!C21</f>
        <v>Bantalan Mouse</v>
      </c>
      <c r="E43" s="122"/>
      <c r="F43" s="163">
        <f>'In Produk'!H21</f>
        <v>2</v>
      </c>
      <c r="G43" s="121"/>
      <c r="H43" s="121"/>
      <c r="I43" s="121"/>
      <c r="J43" s="121"/>
      <c r="K43" s="156"/>
    </row>
    <row r="44" spans="3:11" ht="14.25" customHeight="1">
      <c r="C44" s="162">
        <f>'In Produk'!B22</f>
        <v>17</v>
      </c>
      <c r="D44" s="121" t="str">
        <f>'In Produk'!C22</f>
        <v>Lakban Bening 5 cm</v>
      </c>
      <c r="E44" s="122"/>
      <c r="F44" s="163">
        <f>'In Produk'!H22</f>
        <v>10</v>
      </c>
      <c r="G44" s="121"/>
      <c r="H44" s="121"/>
      <c r="I44" s="121"/>
      <c r="J44" s="121"/>
      <c r="K44" s="156"/>
    </row>
    <row r="45" spans="3:11" ht="15.75">
      <c r="C45" s="93"/>
      <c r="D45" s="93"/>
      <c r="E45" s="93"/>
      <c r="F45" s="128"/>
      <c r="G45" s="93"/>
      <c r="H45" s="93"/>
      <c r="I45" s="93"/>
      <c r="J45" s="93"/>
      <c r="K45" s="156"/>
    </row>
    <row r="46" spans="3:11" ht="32.25" customHeight="1">
      <c r="C46" s="339" t="s">
        <v>161</v>
      </c>
      <c r="D46" s="339"/>
      <c r="E46" s="339"/>
      <c r="F46" s="339"/>
      <c r="G46" s="339"/>
      <c r="H46" s="339"/>
      <c r="I46" s="339"/>
      <c r="J46" s="339"/>
      <c r="K46" s="156"/>
    </row>
    <row r="47" spans="3:11" ht="15.75">
      <c r="C47" s="93"/>
      <c r="D47" s="93"/>
      <c r="E47" s="93"/>
      <c r="F47" s="128"/>
      <c r="G47" s="93"/>
      <c r="H47" s="93"/>
      <c r="I47" s="93"/>
      <c r="J47" s="93"/>
      <c r="K47" s="156"/>
    </row>
    <row r="48" spans="3:11" ht="15.75">
      <c r="C48" s="93"/>
      <c r="D48" s="110" t="s">
        <v>162</v>
      </c>
      <c r="E48" s="93"/>
      <c r="F48" s="128"/>
      <c r="G48" s="93"/>
      <c r="H48" s="110" t="s">
        <v>163</v>
      </c>
      <c r="I48" s="93"/>
      <c r="J48" s="93"/>
      <c r="K48" s="156"/>
    </row>
    <row r="49" spans="3:11" ht="15.75">
      <c r="C49" s="93"/>
      <c r="D49" s="93" t="s">
        <v>326</v>
      </c>
      <c r="E49" s="93"/>
      <c r="F49" s="128"/>
      <c r="G49" s="93"/>
      <c r="H49" s="93" t="str">
        <f>'In Data'!C68</f>
        <v xml:space="preserve">CV. AFWAN </v>
      </c>
      <c r="I49" s="93"/>
      <c r="J49" s="93"/>
      <c r="K49" s="156"/>
    </row>
    <row r="50" spans="3:11" ht="15.75">
      <c r="C50" s="93"/>
      <c r="D50" s="93"/>
      <c r="E50" s="93"/>
      <c r="F50" s="128"/>
      <c r="G50" s="93"/>
      <c r="H50" s="93"/>
      <c r="I50" s="93"/>
      <c r="J50" s="93"/>
      <c r="K50" s="156"/>
    </row>
    <row r="51" spans="3:11" ht="15.75">
      <c r="C51" s="93"/>
      <c r="D51" s="93"/>
      <c r="E51" s="93"/>
      <c r="F51" s="128"/>
      <c r="G51" s="93"/>
      <c r="H51" s="93"/>
      <c r="I51" s="93"/>
      <c r="J51" s="93"/>
      <c r="K51" s="156"/>
    </row>
    <row r="52" spans="3:11" ht="15.75">
      <c r="C52" s="93"/>
      <c r="D52" s="93"/>
      <c r="E52" s="93"/>
      <c r="F52" s="128"/>
      <c r="G52" s="93"/>
      <c r="H52" s="93"/>
      <c r="I52" s="93"/>
      <c r="J52" s="93"/>
      <c r="K52" s="156"/>
    </row>
    <row r="53" spans="3:11" ht="15.75">
      <c r="C53" s="93"/>
      <c r="D53" s="93"/>
      <c r="E53" s="93"/>
      <c r="F53" s="128"/>
      <c r="G53" s="93"/>
      <c r="H53" s="93"/>
      <c r="I53" s="93"/>
      <c r="J53" s="93"/>
      <c r="K53" s="156"/>
    </row>
    <row r="54" spans="3:11" ht="15.75">
      <c r="C54" s="93"/>
      <c r="D54" s="93"/>
      <c r="E54" s="93"/>
      <c r="F54" s="128"/>
      <c r="G54" s="93"/>
      <c r="H54" s="93"/>
      <c r="I54" s="93"/>
      <c r="J54" s="93"/>
      <c r="K54" s="156"/>
    </row>
    <row r="55" spans="3:11" ht="15.75">
      <c r="C55" s="93"/>
      <c r="D55" s="93"/>
      <c r="E55" s="93"/>
      <c r="F55" s="128"/>
      <c r="G55" s="93"/>
      <c r="H55" s="93"/>
      <c r="I55" s="93"/>
      <c r="J55" s="93"/>
      <c r="K55" s="156"/>
    </row>
    <row r="56" spans="3:11" ht="15.75">
      <c r="C56" s="93"/>
      <c r="D56" s="110" t="str">
        <f>'In Data'!C26</f>
        <v>Fitri Yurnita, S.Pd</v>
      </c>
      <c r="E56" s="93"/>
      <c r="F56" s="128"/>
      <c r="G56" s="93"/>
      <c r="H56" s="110" t="str">
        <f>'In Data'!C54</f>
        <v>Mega Afriyanti, S.Pd</v>
      </c>
      <c r="I56" s="93"/>
      <c r="J56" s="93"/>
      <c r="K56" s="156"/>
    </row>
    <row r="57" spans="3:11" ht="15.75">
      <c r="C57" s="93"/>
      <c r="D57" s="110" t="str">
        <f>"NIP. "&amp;'In Data'!C27&amp;""</f>
        <v>NIP. 198008142009032002</v>
      </c>
      <c r="E57" s="93"/>
      <c r="F57" s="128"/>
      <c r="G57" s="93"/>
      <c r="H57" s="110" t="str">
        <f>'[2]INPUT DATA'!C56</f>
        <v>Direktur</v>
      </c>
      <c r="I57" s="93"/>
      <c r="J57" s="93"/>
      <c r="K57" s="156"/>
    </row>
    <row r="58" spans="3:11" ht="15.75">
      <c r="C58" s="93"/>
      <c r="D58" s="93"/>
      <c r="E58" s="93"/>
      <c r="F58" s="128"/>
      <c r="G58" s="93"/>
      <c r="H58" s="93"/>
      <c r="I58" s="93"/>
      <c r="J58" s="93"/>
      <c r="K58" s="156"/>
    </row>
    <row r="59" spans="3:11" ht="15.75">
      <c r="C59" s="93"/>
      <c r="D59" s="93"/>
      <c r="E59" s="93"/>
      <c r="F59" s="128" t="s">
        <v>54</v>
      </c>
      <c r="G59" s="93"/>
      <c r="H59" s="93"/>
      <c r="I59" s="93"/>
      <c r="J59" s="93"/>
      <c r="K59" s="156"/>
    </row>
    <row r="60" spans="3:11" ht="15.75">
      <c r="C60" s="93"/>
      <c r="D60" s="93"/>
      <c r="E60" s="93"/>
      <c r="F60" s="128"/>
      <c r="G60" s="93"/>
      <c r="H60" s="93"/>
      <c r="I60" s="93"/>
      <c r="J60" s="93"/>
      <c r="K60" s="156"/>
    </row>
    <row r="61" spans="3:11" ht="15.75">
      <c r="C61" s="93"/>
      <c r="D61" s="93"/>
      <c r="E61" s="93"/>
      <c r="F61" s="128"/>
      <c r="G61" s="93"/>
      <c r="H61" s="93"/>
      <c r="I61" s="93"/>
      <c r="J61" s="93"/>
      <c r="K61" s="156"/>
    </row>
    <row r="62" spans="3:11" ht="15.75">
      <c r="C62" s="93"/>
      <c r="D62" s="93"/>
      <c r="E62" s="93"/>
      <c r="F62" s="128"/>
      <c r="G62" s="93"/>
      <c r="H62" s="93"/>
      <c r="I62" s="93"/>
      <c r="J62" s="93"/>
      <c r="K62" s="156"/>
    </row>
    <row r="63" spans="3:11" ht="15.75">
      <c r="C63" s="93"/>
      <c r="D63" s="93"/>
      <c r="E63" s="93"/>
      <c r="F63" s="128"/>
      <c r="G63" s="93"/>
      <c r="H63" s="93"/>
      <c r="I63" s="93"/>
      <c r="J63" s="93"/>
      <c r="K63" s="156"/>
    </row>
    <row r="64" spans="3:11" ht="15.75">
      <c r="C64" s="93"/>
      <c r="D64" s="93"/>
      <c r="E64" s="93"/>
      <c r="F64" s="128"/>
      <c r="G64" s="93"/>
      <c r="H64" s="93"/>
      <c r="I64" s="93"/>
      <c r="J64" s="93"/>
      <c r="K64" s="156"/>
    </row>
    <row r="65" spans="3:11" ht="15.75">
      <c r="C65" s="93"/>
      <c r="D65" s="93"/>
      <c r="E65" s="93"/>
      <c r="F65" s="128"/>
      <c r="G65" s="93"/>
      <c r="H65" s="93"/>
      <c r="I65" s="93"/>
      <c r="J65" s="93"/>
      <c r="K65" s="156"/>
    </row>
    <row r="66" spans="3:11" ht="15.75">
      <c r="C66" s="93"/>
      <c r="D66" s="93"/>
      <c r="E66" s="93"/>
      <c r="F66" s="309" t="str">
        <f>'In Data'!C32</f>
        <v>Hamdani</v>
      </c>
      <c r="G66" s="93"/>
      <c r="H66" s="93"/>
      <c r="I66" s="93"/>
      <c r="J66" s="93"/>
      <c r="K66" s="156"/>
    </row>
    <row r="67" spans="3:11" ht="15.75">
      <c r="C67" s="93"/>
      <c r="D67" s="93"/>
      <c r="E67" s="308" t="str">
        <f>"NIP. "&amp;'In Data'!C33&amp;""</f>
        <v>NIP. -</v>
      </c>
      <c r="F67" s="115"/>
      <c r="G67" s="93"/>
      <c r="H67" s="93"/>
      <c r="I67" s="93"/>
      <c r="J67" s="93"/>
      <c r="K67" s="156"/>
    </row>
  </sheetData>
  <mergeCells count="16">
    <mergeCell ref="C46:J46"/>
    <mergeCell ref="C9:J9"/>
    <mergeCell ref="C10:J10"/>
    <mergeCell ref="F22:J22"/>
    <mergeCell ref="C24:J24"/>
    <mergeCell ref="C26:C27"/>
    <mergeCell ref="D26:D27"/>
    <mergeCell ref="F26:F27"/>
    <mergeCell ref="G26:G27"/>
    <mergeCell ref="H26:J26"/>
    <mergeCell ref="C7:J7"/>
    <mergeCell ref="C2:J2"/>
    <mergeCell ref="C3:J3"/>
    <mergeCell ref="C4:J4"/>
    <mergeCell ref="C5:J5"/>
    <mergeCell ref="C6:J6"/>
  </mergeCells>
  <pageMargins left="0.11811023622047245" right="0.70866141732283472" top="0.74803149606299213" bottom="0.74803149606299213" header="0.31496062992125984" footer="0.31496062992125984"/>
  <pageSetup paperSize="14" scale="69" orientation="portrait" r:id="rId1"/>
  <headerFooter>
    <oddHeader>&amp;RFormat Sesuai Permendikbudristek Nomor 18 Tahun 2022</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76952-5F71-4DDC-AFE7-81D07C9B5B57}">
  <sheetPr>
    <pageSetUpPr fitToPage="1"/>
  </sheetPr>
  <dimension ref="C2:J77"/>
  <sheetViews>
    <sheetView showGridLines="0" tabSelected="1" topLeftCell="A52" zoomScaleNormal="100" workbookViewId="0">
      <selection activeCell="M37" sqref="M37"/>
    </sheetView>
  </sheetViews>
  <sheetFormatPr defaultRowHeight="15"/>
  <cols>
    <col min="3" max="3" width="4.85546875" customWidth="1"/>
    <col min="4" max="4" width="49.5703125" customWidth="1"/>
    <col min="5" max="5" width="1.5703125" bestFit="1" customWidth="1"/>
    <col min="6" max="6" width="20.7109375" customWidth="1"/>
    <col min="7" max="7" width="17.28515625" customWidth="1"/>
    <col min="8" max="8" width="7.5703125" customWidth="1"/>
    <col min="9" max="9" width="9.5703125" bestFit="1" customWidth="1"/>
    <col min="10" max="10" width="9.42578125" customWidth="1"/>
  </cols>
  <sheetData>
    <row r="2" spans="3:10">
      <c r="C2" s="156"/>
      <c r="D2" s="156"/>
      <c r="E2" s="156"/>
      <c r="F2" s="164"/>
      <c r="G2" s="156"/>
      <c r="H2" s="156"/>
      <c r="I2" s="156"/>
      <c r="J2" s="156"/>
    </row>
    <row r="3" spans="3:10" ht="15.75">
      <c r="C3" s="335" t="str">
        <f>'In Data'!C15</f>
        <v>PEMERINTAH DAERAH PROVINSI JAWA BARAT</v>
      </c>
      <c r="D3" s="335"/>
      <c r="E3" s="335"/>
      <c r="F3" s="335"/>
      <c r="G3" s="335"/>
      <c r="H3" s="335"/>
      <c r="I3" s="335"/>
      <c r="J3" s="154"/>
    </row>
    <row r="4" spans="3:10" ht="18.75">
      <c r="C4" s="335" t="str">
        <f>'In Data'!C16</f>
        <v>DINAS PENDIDIKAN</v>
      </c>
      <c r="D4" s="335"/>
      <c r="E4" s="335"/>
      <c r="F4" s="335"/>
      <c r="G4" s="335"/>
      <c r="H4" s="335"/>
      <c r="I4" s="335"/>
      <c r="J4" s="155"/>
    </row>
    <row r="5" spans="3:10" ht="22.5">
      <c r="C5" s="335" t="str">
        <f>'In Data'!C17</f>
        <v>CABANG DINAS PENDIDIKAN WILAYAH VI</v>
      </c>
      <c r="D5" s="335"/>
      <c r="E5" s="335"/>
      <c r="F5" s="335"/>
      <c r="G5" s="335"/>
      <c r="H5" s="335"/>
      <c r="I5" s="335"/>
      <c r="J5" s="112"/>
    </row>
    <row r="6" spans="3:10" ht="22.5">
      <c r="C6" s="306"/>
      <c r="D6" s="363" t="str">
        <f>'In Data'!C18</f>
        <v xml:space="preserve">SMA NEGERI 1 PAGELARAN </v>
      </c>
      <c r="E6" s="363"/>
      <c r="F6" s="363"/>
      <c r="G6" s="363"/>
      <c r="H6" s="363"/>
      <c r="I6" s="363"/>
      <c r="J6" s="112"/>
    </row>
    <row r="7" spans="3:10" ht="15" customHeight="1">
      <c r="C7" s="335" t="str">
        <f>'In Data'!C20</f>
        <v>Tlp.(0263) 236150  e-mail : smanpagelaran@gmail.com</v>
      </c>
      <c r="D7" s="335"/>
      <c r="E7" s="335"/>
      <c r="F7" s="335"/>
      <c r="G7" s="335"/>
      <c r="H7" s="335"/>
      <c r="I7" s="335"/>
      <c r="J7" s="111"/>
    </row>
    <row r="8" spans="3:10" ht="15" customHeight="1" thickBot="1">
      <c r="C8" s="332" t="str">
        <f>'In Data'!C21</f>
        <v>Jalan Raya Pagelaran Kp. Cibeureum Desa Sindangkerta Rt. 06/Rw. 07  Pagelaran – Cianjur 43266</v>
      </c>
      <c r="D8" s="332"/>
      <c r="E8" s="332"/>
      <c r="F8" s="332"/>
      <c r="G8" s="332"/>
      <c r="H8" s="332"/>
      <c r="I8" s="332"/>
      <c r="J8" s="111"/>
    </row>
    <row r="9" spans="3:10" ht="16.5" thickTop="1">
      <c r="C9" s="111"/>
      <c r="D9" s="111"/>
      <c r="E9" s="111"/>
      <c r="F9" s="111"/>
      <c r="G9" s="111"/>
      <c r="H9" s="111"/>
      <c r="I9" s="111"/>
      <c r="J9" s="111"/>
    </row>
    <row r="10" spans="3:10" ht="15.75">
      <c r="C10" s="337" t="s">
        <v>32</v>
      </c>
      <c r="D10" s="337"/>
      <c r="E10" s="337"/>
      <c r="F10" s="337"/>
      <c r="G10" s="337"/>
      <c r="H10" s="337"/>
      <c r="I10" s="337"/>
      <c r="J10" s="156"/>
    </row>
    <row r="11" spans="3:10" ht="15.75">
      <c r="C11" s="337" t="str">
        <f>'In Data'!C9</f>
        <v>900/......../SMAN.01/CADISDIKWIL.VI/......./2026</v>
      </c>
      <c r="D11" s="337"/>
      <c r="E11" s="337"/>
      <c r="F11" s="337"/>
      <c r="G11" s="337"/>
      <c r="H11" s="337"/>
      <c r="I11" s="337"/>
      <c r="J11" s="156"/>
    </row>
    <row r="12" spans="3:10" ht="15.75">
      <c r="C12" s="93"/>
      <c r="D12" s="93"/>
      <c r="E12" s="128"/>
      <c r="F12" s="93"/>
      <c r="G12" s="93"/>
      <c r="H12" s="93"/>
      <c r="I12" s="93"/>
      <c r="J12" s="156"/>
    </row>
    <row r="13" spans="3:10" ht="15.75">
      <c r="C13" s="93" t="e">
        <f ca="1">"Pada hari ini "&amp;'In Data'!F9&amp;" tanggal "&amp;'In Data'!H9&amp;" bulan "&amp;'In Data'!I9&amp;" tahun "&amp;'In Data'!K9&amp;" sesuai dengan :"</f>
        <v>#NAME?</v>
      </c>
      <c r="D13" s="93"/>
      <c r="E13" s="128"/>
      <c r="F13" s="93"/>
      <c r="G13" s="93"/>
      <c r="H13" s="93"/>
      <c r="I13" s="93"/>
      <c r="J13" s="156"/>
    </row>
    <row r="14" spans="3:10" ht="15.75">
      <c r="C14" s="93" t="s">
        <v>146</v>
      </c>
      <c r="D14" s="93"/>
      <c r="E14" s="157" t="s">
        <v>102</v>
      </c>
      <c r="F14" s="93" t="str">
        <f>'In Data'!C7</f>
        <v>900/......../SMAN.01/CADISDIKWIL.VI/......./2026</v>
      </c>
      <c r="G14" s="93"/>
      <c r="H14" s="93"/>
      <c r="I14" s="93"/>
      <c r="J14" s="156"/>
    </row>
    <row r="15" spans="3:10" ht="15.75">
      <c r="C15" s="93" t="s">
        <v>143</v>
      </c>
      <c r="D15" s="93"/>
      <c r="E15" s="157" t="s">
        <v>102</v>
      </c>
      <c r="F15" s="158" t="str">
        <f>'In Data'!E7</f>
        <v>02 Februari 2026</v>
      </c>
      <c r="G15" s="93"/>
      <c r="H15" s="93"/>
      <c r="I15" s="93"/>
      <c r="J15" s="156"/>
    </row>
    <row r="16" spans="3:10" ht="15.75">
      <c r="C16" s="93" t="s">
        <v>147</v>
      </c>
      <c r="D16" s="93"/>
      <c r="E16" s="157" t="s">
        <v>102</v>
      </c>
      <c r="F16" s="93" t="str">
        <f>'In Data'!C38</f>
        <v>Belanja Alat Tulis Kantor</v>
      </c>
      <c r="G16" s="93"/>
      <c r="H16" s="93"/>
      <c r="I16" s="93"/>
      <c r="J16" s="156"/>
    </row>
    <row r="17" spans="3:10" ht="15.75">
      <c r="C17" s="93" t="s">
        <v>148</v>
      </c>
      <c r="D17" s="93"/>
      <c r="E17" s="157" t="s">
        <v>102</v>
      </c>
      <c r="F17" s="157">
        <f>'In Data'!C49</f>
        <v>2026</v>
      </c>
      <c r="G17" s="93"/>
      <c r="H17" s="93"/>
      <c r="I17" s="93"/>
      <c r="J17" s="156"/>
    </row>
    <row r="18" spans="3:10" ht="15.75">
      <c r="C18" s="93"/>
      <c r="D18" s="93"/>
      <c r="E18" s="128"/>
      <c r="F18" s="93"/>
      <c r="G18" s="93"/>
      <c r="H18" s="93"/>
      <c r="I18" s="93"/>
      <c r="J18" s="156"/>
    </row>
    <row r="19" spans="3:10" ht="15.75">
      <c r="C19" s="93" t="s">
        <v>149</v>
      </c>
      <c r="D19" s="93"/>
      <c r="E19" s="128"/>
      <c r="F19" s="93"/>
      <c r="G19" s="93"/>
      <c r="H19" s="93"/>
      <c r="I19" s="93"/>
      <c r="J19" s="156"/>
    </row>
    <row r="20" spans="3:10" ht="15.75">
      <c r="C20" s="157">
        <v>1</v>
      </c>
      <c r="D20" s="93" t="s">
        <v>164</v>
      </c>
      <c r="E20" s="157" t="s">
        <v>102</v>
      </c>
      <c r="F20" s="93" t="str">
        <f>'In Data'!C54</f>
        <v>Mega Afriyanti, S.Pd</v>
      </c>
      <c r="G20" s="93"/>
      <c r="H20" s="93"/>
      <c r="I20" s="93"/>
      <c r="J20" s="156"/>
    </row>
    <row r="21" spans="3:10" ht="15.75">
      <c r="C21" s="93"/>
      <c r="D21" s="93" t="s">
        <v>131</v>
      </c>
      <c r="E21" s="157" t="s">
        <v>102</v>
      </c>
      <c r="F21" s="93" t="str">
        <f>'In Data'!C58</f>
        <v>Direktur</v>
      </c>
      <c r="G21" s="93"/>
      <c r="H21" s="93"/>
      <c r="I21" s="93"/>
      <c r="J21" s="156"/>
    </row>
    <row r="22" spans="3:10" ht="15.75">
      <c r="C22" s="93"/>
      <c r="D22" s="93" t="s">
        <v>165</v>
      </c>
      <c r="E22" s="157" t="s">
        <v>102</v>
      </c>
      <c r="F22" s="93" t="str">
        <f>'In Data'!C68</f>
        <v xml:space="preserve">CV. AFWAN </v>
      </c>
      <c r="G22" s="93"/>
      <c r="H22" s="93"/>
      <c r="I22" s="93"/>
      <c r="J22" s="156"/>
    </row>
    <row r="23" spans="3:10" ht="33.75" customHeight="1">
      <c r="C23" s="93"/>
      <c r="D23" s="159" t="s">
        <v>166</v>
      </c>
      <c r="E23" s="159" t="s">
        <v>102</v>
      </c>
      <c r="F23" s="339" t="str">
        <f>'In Data'!C69</f>
        <v>Kp. Cangklek No. 61 RT.004 / RW.001 Sukamanah, Cugenang, Cianjur Jawa barat</v>
      </c>
      <c r="G23" s="339"/>
      <c r="H23" s="339"/>
      <c r="I23" s="339"/>
      <c r="J23" s="156"/>
    </row>
    <row r="24" spans="3:10" ht="15.75">
      <c r="C24" s="93"/>
      <c r="D24" s="93" t="s">
        <v>167</v>
      </c>
      <c r="E24" s="157" t="s">
        <v>102</v>
      </c>
      <c r="F24" s="165" t="str">
        <f>'In Data'!C60</f>
        <v>085691768167</v>
      </c>
      <c r="G24" s="93"/>
      <c r="H24" s="93"/>
      <c r="I24" s="93"/>
      <c r="J24" s="156"/>
    </row>
    <row r="25" spans="3:10" ht="15.75">
      <c r="C25" s="93"/>
      <c r="D25" s="93" t="s">
        <v>168</v>
      </c>
      <c r="E25" s="93"/>
      <c r="F25" s="128"/>
      <c r="G25" s="93"/>
      <c r="H25" s="93"/>
      <c r="I25" s="93"/>
      <c r="J25" s="156"/>
    </row>
    <row r="26" spans="3:10" ht="15.75">
      <c r="C26" s="93"/>
      <c r="D26" s="93"/>
      <c r="E26" s="93"/>
      <c r="F26" s="128"/>
      <c r="G26" s="93"/>
      <c r="H26" s="93"/>
      <c r="I26" s="93"/>
      <c r="J26" s="156"/>
    </row>
    <row r="27" spans="3:10" ht="15.75">
      <c r="C27" s="157">
        <v>2</v>
      </c>
      <c r="D27" s="93" t="s">
        <v>164</v>
      </c>
      <c r="E27" s="157" t="s">
        <v>102</v>
      </c>
      <c r="F27" s="157" t="str">
        <f>'In Data'!C26</f>
        <v>Fitri Yurnita, S.Pd</v>
      </c>
      <c r="G27" s="93"/>
      <c r="H27" s="93"/>
      <c r="I27" s="93"/>
      <c r="J27" s="156"/>
    </row>
    <row r="28" spans="3:10" ht="15.75">
      <c r="C28" s="93"/>
      <c r="D28" s="93" t="s">
        <v>131</v>
      </c>
      <c r="E28" s="157" t="s">
        <v>102</v>
      </c>
      <c r="F28" s="157" t="s">
        <v>326</v>
      </c>
      <c r="G28" s="93"/>
      <c r="H28" s="93"/>
      <c r="I28" s="93"/>
      <c r="J28" s="156"/>
    </row>
    <row r="29" spans="3:10" ht="15.75">
      <c r="C29" s="93"/>
      <c r="D29" s="94" t="s">
        <v>150</v>
      </c>
      <c r="E29" s="159" t="s">
        <v>102</v>
      </c>
      <c r="F29" s="339" t="str">
        <f>'In Data'!C18</f>
        <v xml:space="preserve">SMA NEGERI 1 PAGELARAN </v>
      </c>
      <c r="G29" s="339"/>
      <c r="H29" s="339"/>
      <c r="I29" s="339"/>
      <c r="J29" s="339"/>
    </row>
    <row r="30" spans="3:10" ht="30" customHeight="1">
      <c r="C30" s="93"/>
      <c r="D30" s="94" t="s">
        <v>151</v>
      </c>
      <c r="E30" s="159" t="s">
        <v>102</v>
      </c>
      <c r="F30" s="339" t="str">
        <f>'In Data'!C21</f>
        <v>Jalan Raya Pagelaran Kp. Cibeureum Desa Sindangkerta Rt. 06/Rw. 07  Pagelaran – Cianjur 43266</v>
      </c>
      <c r="G30" s="339"/>
      <c r="H30" s="339"/>
      <c r="I30" s="339"/>
      <c r="J30" s="156"/>
    </row>
    <row r="31" spans="3:10" ht="35.25" customHeight="1">
      <c r="C31" s="93"/>
      <c r="D31" s="159" t="s">
        <v>167</v>
      </c>
      <c r="E31" s="159" t="s">
        <v>102</v>
      </c>
      <c r="F31" s="339" t="str">
        <f>'In Data'!C22</f>
        <v>0263-236150</v>
      </c>
      <c r="G31" s="339"/>
      <c r="H31" s="339"/>
      <c r="I31" s="339"/>
      <c r="J31" s="339"/>
    </row>
    <row r="32" spans="3:10" ht="15.75">
      <c r="C32" s="93"/>
      <c r="D32" s="93" t="s">
        <v>169</v>
      </c>
      <c r="E32" s="93"/>
      <c r="F32" s="128"/>
      <c r="G32" s="93"/>
      <c r="H32" s="93"/>
      <c r="I32" s="93"/>
      <c r="J32" s="156"/>
    </row>
    <row r="33" spans="3:10" ht="15.75">
      <c r="C33" s="93"/>
      <c r="D33" s="93"/>
      <c r="E33" s="93"/>
      <c r="F33" s="128"/>
      <c r="G33" s="93"/>
      <c r="H33" s="93"/>
      <c r="I33" s="93"/>
      <c r="J33" s="156"/>
    </row>
    <row r="34" spans="3:10" ht="45.75" customHeight="1">
      <c r="C34" s="339" t="str">
        <f>"PIHAK PERTAMA menyerahkan hasil pekerjaan "&amp;'In Data'!C38&amp;" kepada PIHAK KEDUA, dan PIHAK KEDUA telah menerima hasil pekerjaan tersebut dalam jumlah yang lengkap dan kondisi yang baik sesuai dengan rincian berikut:"</f>
        <v>PIHAK PERTAMA menyerahkan hasil pekerjaan Belanja Alat Tulis Kantor kepada PIHAK KEDUA, dan PIHAK KEDUA telah menerima hasil pekerjaan tersebut dalam jumlah yang lengkap dan kondisi yang baik sesuai dengan rincian berikut:</v>
      </c>
      <c r="D34" s="339"/>
      <c r="E34" s="339"/>
      <c r="F34" s="339"/>
      <c r="G34" s="339"/>
      <c r="H34" s="339"/>
      <c r="I34" s="339"/>
      <c r="J34" s="156"/>
    </row>
    <row r="35" spans="3:10" ht="15.75">
      <c r="C35" s="93"/>
      <c r="D35" s="93"/>
      <c r="E35" s="93"/>
      <c r="F35" s="128"/>
      <c r="G35" s="93"/>
      <c r="H35" s="93"/>
      <c r="I35" s="93"/>
      <c r="J35" s="156"/>
    </row>
    <row r="36" spans="3:10" ht="15.75">
      <c r="C36" s="356" t="s">
        <v>0</v>
      </c>
      <c r="D36" s="356" t="s">
        <v>170</v>
      </c>
      <c r="E36" s="160"/>
      <c r="F36" s="364" t="s">
        <v>171</v>
      </c>
      <c r="G36" s="359" t="s">
        <v>172</v>
      </c>
      <c r="H36" s="356" t="s">
        <v>173</v>
      </c>
      <c r="I36" s="356"/>
      <c r="J36" s="156"/>
    </row>
    <row r="37" spans="3:10" ht="15.75">
      <c r="C37" s="356"/>
      <c r="D37" s="356"/>
      <c r="E37" s="161"/>
      <c r="F37" s="365"/>
      <c r="G37" s="359"/>
      <c r="H37" s="117" t="s">
        <v>174</v>
      </c>
      <c r="I37" s="117" t="s">
        <v>175</v>
      </c>
      <c r="J37" s="156"/>
    </row>
    <row r="38" spans="3:10" ht="15.75">
      <c r="C38" s="162">
        <f>'In Produk'!B6</f>
        <v>1</v>
      </c>
      <c r="D38" s="121" t="str">
        <f>'In Produk'!C6</f>
        <v>Kertas Karton</v>
      </c>
      <c r="E38" s="122"/>
      <c r="F38" s="163">
        <f>'In Produk'!H6</f>
        <v>44</v>
      </c>
      <c r="G38" s="121"/>
      <c r="H38" s="121"/>
      <c r="I38" s="121"/>
      <c r="J38" s="156"/>
    </row>
    <row r="39" spans="3:10" ht="15.75">
      <c r="C39" s="162">
        <f>'In Produk'!B7</f>
        <v>2</v>
      </c>
      <c r="D39" s="121" t="str">
        <f>'In Produk'!C7</f>
        <v>kertas HVS A4</v>
      </c>
      <c r="E39" s="122"/>
      <c r="F39" s="163">
        <f>'In Produk'!H7</f>
        <v>25</v>
      </c>
      <c r="G39" s="121"/>
      <c r="H39" s="121"/>
      <c r="I39" s="121"/>
      <c r="J39" s="156"/>
    </row>
    <row r="40" spans="3:10" ht="15.75">
      <c r="C40" s="162">
        <f>'In Produk'!B8</f>
        <v>3</v>
      </c>
      <c r="D40" s="121" t="str">
        <f>'In Produk'!C8</f>
        <v>kertas HVS F4</v>
      </c>
      <c r="E40" s="122"/>
      <c r="F40" s="163">
        <f>'In Produk'!H8</f>
        <v>25</v>
      </c>
      <c r="G40" s="121"/>
      <c r="H40" s="121"/>
      <c r="I40" s="121"/>
      <c r="J40" s="156"/>
    </row>
    <row r="41" spans="3:10" ht="15.75">
      <c r="C41" s="162">
        <f>'In Produk'!B9</f>
        <v>4</v>
      </c>
      <c r="D41" s="121" t="str">
        <f>'In Produk'!C9</f>
        <v>Kertas Manila</v>
      </c>
      <c r="E41" s="122"/>
      <c r="F41" s="163">
        <f>'In Produk'!H9</f>
        <v>23</v>
      </c>
      <c r="G41" s="121"/>
      <c r="H41" s="121"/>
      <c r="I41" s="121"/>
      <c r="J41" s="156"/>
    </row>
    <row r="42" spans="3:10" ht="15.75">
      <c r="C42" s="162">
        <f>'In Produk'!B10</f>
        <v>5</v>
      </c>
      <c r="D42" s="121" t="str">
        <f>'In Produk'!C10</f>
        <v>Kertas lipat</v>
      </c>
      <c r="E42" s="122"/>
      <c r="F42" s="163">
        <f>'In Produk'!H10</f>
        <v>12</v>
      </c>
      <c r="G42" s="121"/>
      <c r="H42" s="121"/>
      <c r="I42" s="121"/>
      <c r="J42" s="156"/>
    </row>
    <row r="43" spans="3:10" ht="15.75">
      <c r="C43" s="162">
        <f>'In Produk'!B11</f>
        <v>6</v>
      </c>
      <c r="D43" s="121" t="str">
        <f>'In Produk'!C11</f>
        <v>Kertas cover ukuran kwarto/A4</v>
      </c>
      <c r="E43" s="122"/>
      <c r="F43" s="163">
        <f>'In Produk'!H11</f>
        <v>30</v>
      </c>
      <c r="G43" s="121"/>
      <c r="H43" s="121"/>
      <c r="I43" s="121"/>
      <c r="J43" s="156"/>
    </row>
    <row r="44" spans="3:10" ht="15.75">
      <c r="C44" s="162">
        <f>'In Produk'!B12</f>
        <v>7</v>
      </c>
      <c r="D44" s="121" t="str">
        <f>'In Produk'!C12</f>
        <v>Kertas cover ukuran folio warna</v>
      </c>
      <c r="E44" s="122"/>
      <c r="F44" s="163">
        <f>'In Produk'!H12</f>
        <v>30</v>
      </c>
      <c r="G44" s="121"/>
      <c r="H44" s="121"/>
      <c r="I44" s="121"/>
      <c r="J44" s="156"/>
    </row>
    <row r="45" spans="3:10" ht="15.75">
      <c r="C45" s="162">
        <f>'In Produk'!B13</f>
        <v>8</v>
      </c>
      <c r="D45" s="121" t="str">
        <f>'In Produk'!C13</f>
        <v>Cover dari Plastik</v>
      </c>
      <c r="E45" s="122"/>
      <c r="F45" s="163">
        <f>'In Produk'!H13</f>
        <v>10</v>
      </c>
      <c r="G45" s="121"/>
      <c r="H45" s="121"/>
      <c r="I45" s="121"/>
      <c r="J45" s="156"/>
    </row>
    <row r="46" spans="3:10" ht="15.75">
      <c r="C46" s="162">
        <f>'In Produk'!B14</f>
        <v>9</v>
      </c>
      <c r="D46" s="121" t="str">
        <f>'In Produk'!C14</f>
        <v>Amplop Besar</v>
      </c>
      <c r="E46" s="122"/>
      <c r="F46" s="163">
        <f>'In Produk'!H14</f>
        <v>10</v>
      </c>
      <c r="G46" s="121"/>
      <c r="H46" s="121"/>
      <c r="I46" s="121"/>
      <c r="J46" s="156"/>
    </row>
    <row r="47" spans="3:10" ht="15.75">
      <c r="C47" s="162">
        <f>'In Produk'!B15</f>
        <v>10</v>
      </c>
      <c r="D47" s="121" t="str">
        <f>'In Produk'!C15</f>
        <v>Amplop Kecil</v>
      </c>
      <c r="E47" s="122"/>
      <c r="F47" s="163">
        <f>'In Produk'!H15</f>
        <v>10</v>
      </c>
      <c r="G47" s="121"/>
      <c r="H47" s="121"/>
      <c r="I47" s="121"/>
      <c r="J47" s="156"/>
    </row>
    <row r="48" spans="3:10" ht="15.75">
      <c r="C48" s="162">
        <f>'In Produk'!B16</f>
        <v>11</v>
      </c>
      <c r="D48" s="121" t="str">
        <f>'In Produk'!C16</f>
        <v>Amplop Coklat</v>
      </c>
      <c r="E48" s="122"/>
      <c r="F48" s="163">
        <f>'In Produk'!H16</f>
        <v>10</v>
      </c>
      <c r="G48" s="121"/>
      <c r="H48" s="121"/>
      <c r="I48" s="121"/>
      <c r="J48" s="156"/>
    </row>
    <row r="49" spans="3:10" ht="15.75">
      <c r="C49" s="162">
        <f>'In Produk'!B17</f>
        <v>12</v>
      </c>
      <c r="D49" s="121" t="str">
        <f>'In Produk'!C17</f>
        <v>Kertas buffalo</v>
      </c>
      <c r="E49" s="122"/>
      <c r="F49" s="163">
        <f>'In Produk'!H17</f>
        <v>10</v>
      </c>
      <c r="G49" s="121"/>
      <c r="H49" s="121"/>
      <c r="I49" s="121"/>
      <c r="J49" s="156"/>
    </row>
    <row r="50" spans="3:10" ht="15.75">
      <c r="C50" s="162">
        <f>'In Produk'!B18</f>
        <v>13</v>
      </c>
      <c r="D50" s="121" t="str">
        <f>'In Produk'!C18</f>
        <v>Tinta printer Epson</v>
      </c>
      <c r="E50" s="122"/>
      <c r="F50" s="163">
        <f>'In Produk'!H18</f>
        <v>30</v>
      </c>
      <c r="G50" s="121"/>
      <c r="H50" s="121"/>
      <c r="I50" s="121"/>
      <c r="J50" s="156"/>
    </row>
    <row r="51" spans="3:10" ht="15.75">
      <c r="C51" s="162">
        <f>'In Produk'!B19</f>
        <v>14</v>
      </c>
      <c r="D51" s="121" t="str">
        <f>'In Produk'!C19</f>
        <v>Tinta Printer Brother</v>
      </c>
      <c r="E51" s="122"/>
      <c r="F51" s="163">
        <f>'In Produk'!H19</f>
        <v>10</v>
      </c>
      <c r="G51" s="121"/>
      <c r="H51" s="121"/>
      <c r="I51" s="121"/>
      <c r="J51" s="156"/>
    </row>
    <row r="52" spans="3:10" ht="15.75">
      <c r="C52" s="162">
        <f>'In Produk'!B20</f>
        <v>15</v>
      </c>
      <c r="D52" s="121" t="str">
        <f>'In Produk'!C20</f>
        <v>Mouse</v>
      </c>
      <c r="E52" s="122"/>
      <c r="F52" s="163">
        <f>'In Produk'!H20</f>
        <v>2</v>
      </c>
      <c r="G52" s="121"/>
      <c r="H52" s="121"/>
      <c r="I52" s="121"/>
      <c r="J52" s="156"/>
    </row>
    <row r="53" spans="3:10" ht="15.75">
      <c r="C53" s="162">
        <f>'In Produk'!B21</f>
        <v>16</v>
      </c>
      <c r="D53" s="121" t="str">
        <f>'In Produk'!C21</f>
        <v>Bantalan Mouse</v>
      </c>
      <c r="E53" s="122"/>
      <c r="F53" s="163">
        <f>'In Produk'!H21</f>
        <v>2</v>
      </c>
      <c r="G53" s="121"/>
      <c r="H53" s="121"/>
      <c r="I53" s="121"/>
      <c r="J53" s="156"/>
    </row>
    <row r="54" spans="3:10" ht="15.75">
      <c r="C54" s="162">
        <f>'In Produk'!B22</f>
        <v>17</v>
      </c>
      <c r="D54" s="121" t="str">
        <f>'In Produk'!C22</f>
        <v>Lakban Bening 5 cm</v>
      </c>
      <c r="E54" s="122"/>
      <c r="F54" s="163">
        <f>'In Produk'!H22</f>
        <v>10</v>
      </c>
      <c r="G54" s="121"/>
      <c r="H54" s="121"/>
      <c r="I54" s="121"/>
      <c r="J54" s="156"/>
    </row>
    <row r="55" spans="3:10" ht="15.75">
      <c r="C55" s="93"/>
      <c r="D55" s="93"/>
      <c r="E55" s="93"/>
      <c r="F55" s="128"/>
      <c r="G55" s="93"/>
      <c r="H55" s="93"/>
      <c r="I55" s="93"/>
      <c r="J55" s="156"/>
    </row>
    <row r="56" spans="3:10" ht="30.75" customHeight="1">
      <c r="C56" s="339" t="s">
        <v>278</v>
      </c>
      <c r="D56" s="339"/>
      <c r="E56" s="339"/>
      <c r="F56" s="339"/>
      <c r="G56" s="339"/>
      <c r="H56" s="339"/>
      <c r="I56" s="339"/>
      <c r="J56" s="156"/>
    </row>
    <row r="57" spans="3:10" ht="15.75">
      <c r="C57" s="93"/>
      <c r="D57" s="93"/>
      <c r="E57" s="93"/>
      <c r="F57" s="128"/>
      <c r="G57" s="93"/>
      <c r="H57" s="93"/>
      <c r="I57" s="93"/>
      <c r="J57" s="156"/>
    </row>
    <row r="58" spans="3:10" ht="15.75">
      <c r="C58" s="93" t="s">
        <v>176</v>
      </c>
      <c r="D58" s="93"/>
      <c r="E58" s="93"/>
      <c r="F58" s="128"/>
      <c r="G58" s="93"/>
      <c r="H58" s="93"/>
      <c r="I58" s="93"/>
      <c r="J58" s="156"/>
    </row>
    <row r="59" spans="3:10" ht="15.75">
      <c r="C59" s="93"/>
      <c r="D59" s="93"/>
      <c r="E59" s="93"/>
      <c r="F59" s="128"/>
      <c r="G59" s="93"/>
      <c r="H59" s="93"/>
      <c r="I59" s="93"/>
      <c r="J59" s="156"/>
    </row>
    <row r="60" spans="3:10" ht="15.75">
      <c r="C60" s="93"/>
      <c r="D60" s="93" t="s">
        <v>162</v>
      </c>
      <c r="E60" s="93"/>
      <c r="F60" s="128"/>
      <c r="G60" s="93"/>
      <c r="H60" s="93" t="s">
        <v>163</v>
      </c>
      <c r="I60" s="93"/>
      <c r="J60" s="156"/>
    </row>
    <row r="61" spans="3:10" ht="15.75">
      <c r="C61" s="93"/>
      <c r="D61" s="93" t="s">
        <v>326</v>
      </c>
      <c r="E61" s="93"/>
      <c r="F61" s="128"/>
      <c r="G61" s="93"/>
      <c r="H61" s="93" t="str">
        <f>'In Data'!C68</f>
        <v xml:space="preserve">CV. AFWAN </v>
      </c>
      <c r="I61" s="93"/>
      <c r="J61" s="156"/>
    </row>
    <row r="62" spans="3:10" ht="15.75">
      <c r="C62" s="93"/>
      <c r="D62" s="93"/>
      <c r="E62" s="93"/>
      <c r="F62" s="128"/>
      <c r="G62" s="93"/>
      <c r="H62" s="93"/>
      <c r="I62" s="93"/>
      <c r="J62" s="156"/>
    </row>
    <row r="63" spans="3:10" ht="15.75">
      <c r="C63" s="93"/>
      <c r="D63" s="93"/>
      <c r="E63" s="93"/>
      <c r="F63" s="128"/>
      <c r="G63" s="93"/>
      <c r="H63" s="93"/>
      <c r="I63" s="93"/>
      <c r="J63" s="156"/>
    </row>
    <row r="64" spans="3:10" ht="15.75">
      <c r="C64" s="93"/>
      <c r="D64" s="93"/>
      <c r="E64" s="93"/>
      <c r="F64" s="128"/>
      <c r="G64" s="93"/>
      <c r="H64" s="93"/>
      <c r="I64" s="93"/>
      <c r="J64" s="156"/>
    </row>
    <row r="65" spans="3:10" ht="15.75">
      <c r="C65" s="93"/>
      <c r="D65" s="93"/>
      <c r="E65" s="93"/>
      <c r="F65" s="128"/>
      <c r="G65" s="93"/>
      <c r="H65" s="93"/>
      <c r="I65" s="93"/>
      <c r="J65" s="156"/>
    </row>
    <row r="66" spans="3:10" ht="15.75">
      <c r="C66" s="93"/>
      <c r="D66" s="93"/>
      <c r="E66" s="93"/>
      <c r="F66" s="128"/>
      <c r="G66" s="93"/>
      <c r="H66" s="93"/>
      <c r="I66" s="93"/>
      <c r="J66" s="156"/>
    </row>
    <row r="67" spans="3:10" ht="15.75">
      <c r="C67" s="93"/>
      <c r="D67" s="110" t="str">
        <f>'In Data'!C26</f>
        <v>Fitri Yurnita, S.Pd</v>
      </c>
      <c r="E67" s="93"/>
      <c r="F67" s="128"/>
      <c r="G67" s="93"/>
      <c r="H67" s="110" t="str">
        <f>'In Data'!C54</f>
        <v>Mega Afriyanti, S.Pd</v>
      </c>
      <c r="I67" s="93"/>
      <c r="J67" s="156"/>
    </row>
    <row r="68" spans="3:10" ht="15.75">
      <c r="C68" s="93"/>
      <c r="D68" s="110" t="str">
        <f>"NIP. "&amp;'In Data'!C27&amp;""</f>
        <v>NIP. 198008142009032002</v>
      </c>
      <c r="E68" s="93"/>
      <c r="F68" s="128"/>
      <c r="G68" s="93"/>
      <c r="H68" s="110" t="str">
        <f>'In Data'!C58</f>
        <v>Direktur</v>
      </c>
      <c r="I68" s="93"/>
      <c r="J68" s="156"/>
    </row>
    <row r="69" spans="3:10" ht="15.75">
      <c r="C69" s="93"/>
      <c r="D69" s="93"/>
      <c r="E69" s="93"/>
      <c r="F69" s="128"/>
      <c r="G69" s="93"/>
      <c r="H69" s="93"/>
      <c r="I69" s="93"/>
      <c r="J69" s="156"/>
    </row>
    <row r="70" spans="3:10" ht="15.75">
      <c r="C70" s="338" t="s">
        <v>54</v>
      </c>
      <c r="D70" s="338"/>
      <c r="E70" s="338"/>
      <c r="F70" s="338"/>
      <c r="G70" s="338"/>
      <c r="H70" s="338"/>
      <c r="I70" s="338"/>
      <c r="J70" s="338"/>
    </row>
    <row r="71" spans="3:10" ht="15.75">
      <c r="C71" s="93"/>
      <c r="D71" s="93"/>
      <c r="E71" s="93"/>
      <c r="F71" s="128"/>
      <c r="G71" s="93"/>
      <c r="H71" s="93"/>
      <c r="I71" s="93"/>
      <c r="J71" s="156"/>
    </row>
    <row r="72" spans="3:10" ht="15.75">
      <c r="C72" s="93"/>
      <c r="D72" s="93"/>
      <c r="E72" s="93"/>
      <c r="F72" s="128"/>
      <c r="G72" s="93"/>
      <c r="H72" s="93"/>
      <c r="I72" s="93"/>
      <c r="J72" s="156"/>
    </row>
    <row r="73" spans="3:10" ht="15.75">
      <c r="C73" s="93"/>
      <c r="D73" s="93"/>
      <c r="E73" s="93"/>
      <c r="F73" s="128"/>
      <c r="G73" s="93"/>
      <c r="H73" s="93"/>
      <c r="I73" s="93"/>
      <c r="J73" s="156"/>
    </row>
    <row r="74" spans="3:10" ht="15.75">
      <c r="C74" s="93"/>
      <c r="D74" s="93"/>
      <c r="E74" s="93"/>
      <c r="F74" s="128"/>
      <c r="G74" s="93"/>
      <c r="H74" s="93"/>
      <c r="I74" s="93"/>
      <c r="J74" s="156"/>
    </row>
    <row r="75" spans="3:10" ht="15.75">
      <c r="C75" s="337" t="str">
        <f>'In Data'!C32</f>
        <v>Hamdani</v>
      </c>
      <c r="D75" s="337"/>
      <c r="E75" s="337"/>
      <c r="F75" s="337"/>
      <c r="G75" s="337"/>
      <c r="H75" s="337"/>
      <c r="I75" s="337"/>
      <c r="J75" s="337"/>
    </row>
    <row r="76" spans="3:10" ht="15.75">
      <c r="C76" s="337" t="str">
        <f>"NIP. "&amp;'In Data'!C33&amp;""</f>
        <v>NIP. -</v>
      </c>
      <c r="D76" s="337"/>
      <c r="E76" s="337"/>
      <c r="F76" s="337"/>
      <c r="G76" s="337"/>
      <c r="H76" s="337"/>
      <c r="I76" s="337"/>
      <c r="J76" s="337"/>
    </row>
    <row r="77" spans="3:10">
      <c r="C77" s="156"/>
      <c r="D77" s="156"/>
      <c r="E77" s="156"/>
      <c r="F77" s="156"/>
      <c r="G77" s="156"/>
      <c r="H77" s="156"/>
      <c r="I77" s="156"/>
      <c r="J77" s="156"/>
    </row>
  </sheetData>
  <mergeCells count="22">
    <mergeCell ref="D6:I6"/>
    <mergeCell ref="F36:F37"/>
    <mergeCell ref="G36:G37"/>
    <mergeCell ref="H36:I36"/>
    <mergeCell ref="F31:J31"/>
    <mergeCell ref="F29:J29"/>
    <mergeCell ref="C70:J70"/>
    <mergeCell ref="C75:J75"/>
    <mergeCell ref="C76:J76"/>
    <mergeCell ref="C8:I8"/>
    <mergeCell ref="C3:I3"/>
    <mergeCell ref="C4:I4"/>
    <mergeCell ref="C5:I5"/>
    <mergeCell ref="C7:I7"/>
    <mergeCell ref="C56:I56"/>
    <mergeCell ref="C10:I10"/>
    <mergeCell ref="C11:I11"/>
    <mergeCell ref="F23:I23"/>
    <mergeCell ref="F30:I30"/>
    <mergeCell ref="C34:I34"/>
    <mergeCell ref="C36:C37"/>
    <mergeCell ref="D36:D37"/>
  </mergeCells>
  <pageMargins left="1.1811023622047245" right="0.70866141732283472" top="0.55118110236220474" bottom="0.74803149606299213" header="0.31496062992125984" footer="0.31496062992125984"/>
  <pageSetup paperSize="14" scale="65" orientation="portrait" r:id="rId1"/>
  <headerFooter>
    <oddHeader>&amp;C
&amp;RFormat Sesuai Permendikbud RI Nomor 18 Tahun 2022</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80A8-3135-45A5-8C1E-18EBBE603903}">
  <sheetPr>
    <pageSetUpPr fitToPage="1"/>
  </sheetPr>
  <dimension ref="B8:G49"/>
  <sheetViews>
    <sheetView showGridLines="0" tabSelected="1" topLeftCell="A16" zoomScaleNormal="100" workbookViewId="0">
      <selection activeCell="M37" sqref="M37"/>
    </sheetView>
  </sheetViews>
  <sheetFormatPr defaultRowHeight="15"/>
  <cols>
    <col min="3" max="3" width="51.28515625" customWidth="1"/>
    <col min="4" max="4" width="13.85546875" customWidth="1"/>
    <col min="5" max="5" width="9.7109375" customWidth="1"/>
    <col min="6" max="7" width="18.85546875" bestFit="1" customWidth="1"/>
  </cols>
  <sheetData>
    <row r="8" spans="2:7" ht="15.75" thickBot="1">
      <c r="B8" s="166"/>
      <c r="C8" s="166"/>
      <c r="D8" s="166"/>
      <c r="E8" s="166"/>
      <c r="F8" s="166"/>
      <c r="G8" s="166"/>
    </row>
    <row r="10" spans="2:7" ht="15.75">
      <c r="B10" s="372" t="s">
        <v>33</v>
      </c>
      <c r="C10" s="372"/>
      <c r="D10" s="372"/>
      <c r="E10" s="372"/>
      <c r="F10" s="372"/>
      <c r="G10" s="372"/>
    </row>
    <row r="11" spans="2:7" ht="15.75">
      <c r="B11" s="167"/>
      <c r="C11" s="167"/>
      <c r="D11" s="167"/>
      <c r="E11" s="167"/>
      <c r="F11" s="167"/>
      <c r="G11" s="167"/>
    </row>
    <row r="12" spans="2:7" ht="15.75">
      <c r="B12" s="167" t="s">
        <v>177</v>
      </c>
      <c r="C12" s="167"/>
      <c r="D12" s="167" t="s">
        <v>178</v>
      </c>
      <c r="E12" s="168" t="s">
        <v>102</v>
      </c>
      <c r="F12" s="169" t="str">
        <f>'In Data'!C10</f>
        <v>030101/CV.AFWAN/02/2026</v>
      </c>
      <c r="G12" s="167"/>
    </row>
    <row r="13" spans="2:7" ht="15.75">
      <c r="B13" s="304" t="str">
        <f>'In Data'!C18</f>
        <v xml:space="preserve">SMA NEGERI 1 PAGELARAN </v>
      </c>
      <c r="C13" s="170"/>
      <c r="D13" s="171" t="s">
        <v>143</v>
      </c>
      <c r="E13" s="172" t="s">
        <v>102</v>
      </c>
      <c r="F13" s="173" t="str">
        <f>'In Data'!E10</f>
        <v>03 Februari 2026</v>
      </c>
      <c r="G13" s="167"/>
    </row>
    <row r="14" spans="2:7" ht="31.5" customHeight="1">
      <c r="B14" s="373" t="str">
        <f>'In Data'!C19</f>
        <v>Jalan Raya Pagelaran Kp. Cibeureum Desa Sindangkerta Rt. 06/Rw. 07  Pagelaran – Cianjur 43266</v>
      </c>
      <c r="C14" s="373"/>
      <c r="D14" s="171"/>
      <c r="E14" s="172"/>
      <c r="F14" s="173"/>
      <c r="G14" s="167"/>
    </row>
    <row r="15" spans="2:7" ht="15.75">
      <c r="B15" s="167"/>
      <c r="C15" s="167"/>
      <c r="D15" s="167"/>
      <c r="E15" s="167"/>
      <c r="F15" s="174"/>
      <c r="G15" s="167"/>
    </row>
    <row r="16" spans="2:7" ht="31.5">
      <c r="B16" s="175" t="s">
        <v>153</v>
      </c>
      <c r="C16" s="176" t="s">
        <v>179</v>
      </c>
      <c r="D16" s="175" t="s">
        <v>180</v>
      </c>
      <c r="E16" s="177" t="s">
        <v>181</v>
      </c>
      <c r="F16" s="175" t="s">
        <v>182</v>
      </c>
      <c r="G16" s="175" t="s">
        <v>183</v>
      </c>
    </row>
    <row r="17" spans="2:7">
      <c r="B17" s="178">
        <f>'In Produk'!B6</f>
        <v>1</v>
      </c>
      <c r="C17" s="179" t="str">
        <f>'In Produk'!C6</f>
        <v>Kertas Karton</v>
      </c>
      <c r="D17" s="180" t="str">
        <f>'In Produk'!D6</f>
        <v>Buah</v>
      </c>
      <c r="E17" s="181">
        <f>'In Produk'!H6</f>
        <v>44</v>
      </c>
      <c r="F17" s="182">
        <f>'In Produk'!G6</f>
        <v>4000</v>
      </c>
      <c r="G17" s="183">
        <f>'In Produk'!I6</f>
        <v>176000</v>
      </c>
    </row>
    <row r="18" spans="2:7">
      <c r="B18" s="178">
        <f>'In Produk'!B7</f>
        <v>2</v>
      </c>
      <c r="C18" s="179" t="str">
        <f>'In Produk'!C7</f>
        <v>kertas HVS A4</v>
      </c>
      <c r="D18" s="180" t="str">
        <f>'In Produk'!D7</f>
        <v>Rim</v>
      </c>
      <c r="E18" s="181">
        <f>'In Produk'!H7</f>
        <v>25</v>
      </c>
      <c r="F18" s="182">
        <f>'In Produk'!G7</f>
        <v>55000</v>
      </c>
      <c r="G18" s="183">
        <f>'In Produk'!I7</f>
        <v>1375000</v>
      </c>
    </row>
    <row r="19" spans="2:7">
      <c r="B19" s="178">
        <f>'In Produk'!B8</f>
        <v>3</v>
      </c>
      <c r="C19" s="179" t="str">
        <f>'In Produk'!C8</f>
        <v>kertas HVS F4</v>
      </c>
      <c r="D19" s="180" t="str">
        <f>'In Produk'!D8</f>
        <v>Rim</v>
      </c>
      <c r="E19" s="181">
        <f>'In Produk'!H8</f>
        <v>25</v>
      </c>
      <c r="F19" s="182">
        <f>'In Produk'!G8</f>
        <v>60000</v>
      </c>
      <c r="G19" s="183">
        <f>'In Produk'!I8</f>
        <v>1500000</v>
      </c>
    </row>
    <row r="20" spans="2:7">
      <c r="B20" s="178">
        <f>'In Produk'!B9</f>
        <v>4</v>
      </c>
      <c r="C20" s="179" t="str">
        <f>'In Produk'!C9</f>
        <v>Kertas Manila</v>
      </c>
      <c r="D20" s="180" t="str">
        <f>'In Produk'!D9</f>
        <v>Pak</v>
      </c>
      <c r="E20" s="181">
        <f>'In Produk'!H9</f>
        <v>23</v>
      </c>
      <c r="F20" s="182">
        <f>'In Produk'!G9</f>
        <v>3000</v>
      </c>
      <c r="G20" s="183">
        <f>'In Produk'!I9</f>
        <v>69000</v>
      </c>
    </row>
    <row r="21" spans="2:7">
      <c r="B21" s="178">
        <f>'In Produk'!B10</f>
        <v>5</v>
      </c>
      <c r="C21" s="179" t="str">
        <f>'In Produk'!C10</f>
        <v>Kertas lipat</v>
      </c>
      <c r="D21" s="180" t="str">
        <f>'In Produk'!D10</f>
        <v>pak</v>
      </c>
      <c r="E21" s="181">
        <f>'In Produk'!H10</f>
        <v>12</v>
      </c>
      <c r="F21" s="182">
        <f>'In Produk'!G10</f>
        <v>15000</v>
      </c>
      <c r="G21" s="183">
        <f>'In Produk'!I10</f>
        <v>180000</v>
      </c>
    </row>
    <row r="22" spans="2:7">
      <c r="B22" s="178">
        <f>'In Produk'!B11</f>
        <v>6</v>
      </c>
      <c r="C22" s="179" t="str">
        <f>'In Produk'!C11</f>
        <v>Kertas cover ukuran kwarto/A4</v>
      </c>
      <c r="D22" s="180" t="str">
        <f>'In Produk'!D11</f>
        <v>Pak</v>
      </c>
      <c r="E22" s="181">
        <f>'In Produk'!H11</f>
        <v>30</v>
      </c>
      <c r="F22" s="182">
        <f>'In Produk'!G11</f>
        <v>56000</v>
      </c>
      <c r="G22" s="183">
        <f>'In Produk'!I11</f>
        <v>1680000</v>
      </c>
    </row>
    <row r="23" spans="2:7">
      <c r="B23" s="178">
        <f>'In Produk'!B12</f>
        <v>7</v>
      </c>
      <c r="C23" s="179" t="str">
        <f>'In Produk'!C12</f>
        <v>Kertas cover ukuran folio warna</v>
      </c>
      <c r="D23" s="180" t="str">
        <f>'In Produk'!D12</f>
        <v>Pak</v>
      </c>
      <c r="E23" s="181">
        <f>'In Produk'!H12</f>
        <v>30</v>
      </c>
      <c r="F23" s="182">
        <f>'In Produk'!G12</f>
        <v>60000</v>
      </c>
      <c r="G23" s="183">
        <f>'In Produk'!I12</f>
        <v>1800000</v>
      </c>
    </row>
    <row r="24" spans="2:7">
      <c r="B24" s="178">
        <f>'In Produk'!B13</f>
        <v>8</v>
      </c>
      <c r="C24" s="179" t="str">
        <f>'In Produk'!C13</f>
        <v>Cover dari Plastik</v>
      </c>
      <c r="D24" s="180" t="str">
        <f>'In Produk'!D13</f>
        <v>Pak</v>
      </c>
      <c r="E24" s="181">
        <f>'In Produk'!H13</f>
        <v>10</v>
      </c>
      <c r="F24" s="182">
        <f>'In Produk'!G13</f>
        <v>48000</v>
      </c>
      <c r="G24" s="183">
        <f>'In Produk'!I13</f>
        <v>480000</v>
      </c>
    </row>
    <row r="25" spans="2:7">
      <c r="B25" s="178">
        <f>'In Produk'!B14</f>
        <v>9</v>
      </c>
      <c r="C25" s="179" t="str">
        <f>'In Produk'!C14</f>
        <v>Amplop Besar</v>
      </c>
      <c r="D25" s="180" t="str">
        <f>'In Produk'!D14</f>
        <v>Dus</v>
      </c>
      <c r="E25" s="181">
        <f>'In Produk'!H14</f>
        <v>10</v>
      </c>
      <c r="F25" s="182">
        <f>'In Produk'!G14</f>
        <v>31000</v>
      </c>
      <c r="G25" s="183">
        <f>'In Produk'!I14</f>
        <v>310000</v>
      </c>
    </row>
    <row r="26" spans="2:7">
      <c r="B26" s="178">
        <f>'In Produk'!B15</f>
        <v>10</v>
      </c>
      <c r="C26" s="179" t="str">
        <f>'In Produk'!C15</f>
        <v>Amplop Kecil</v>
      </c>
      <c r="D26" s="180" t="str">
        <f>'In Produk'!D15</f>
        <v>Dus</v>
      </c>
      <c r="E26" s="181">
        <f>'In Produk'!H15</f>
        <v>10</v>
      </c>
      <c r="F26" s="182">
        <f>'In Produk'!G15</f>
        <v>25000</v>
      </c>
      <c r="G26" s="183">
        <f>'In Produk'!I15</f>
        <v>250000</v>
      </c>
    </row>
    <row r="27" spans="2:7">
      <c r="B27" s="178">
        <f>'In Produk'!B16</f>
        <v>11</v>
      </c>
      <c r="C27" s="179" t="str">
        <f>'In Produk'!C16</f>
        <v>Amplop Coklat</v>
      </c>
      <c r="D27" s="180" t="str">
        <f>'In Produk'!D16</f>
        <v>Pak</v>
      </c>
      <c r="E27" s="181">
        <f>'In Produk'!H16</f>
        <v>10</v>
      </c>
      <c r="F27" s="182">
        <f>'In Produk'!G16</f>
        <v>28000</v>
      </c>
      <c r="G27" s="183">
        <f>'In Produk'!I16</f>
        <v>280000</v>
      </c>
    </row>
    <row r="28" spans="2:7">
      <c r="B28" s="178">
        <f>'In Produk'!B17</f>
        <v>12</v>
      </c>
      <c r="C28" s="179" t="str">
        <f>'In Produk'!C17</f>
        <v>Kertas buffalo</v>
      </c>
      <c r="D28" s="180" t="str">
        <f>'In Produk'!D17</f>
        <v>Buah</v>
      </c>
      <c r="E28" s="181">
        <f>'In Produk'!H17</f>
        <v>10</v>
      </c>
      <c r="F28" s="182">
        <f>'In Produk'!G17</f>
        <v>40000</v>
      </c>
      <c r="G28" s="183">
        <f>'In Produk'!I17</f>
        <v>400000</v>
      </c>
    </row>
    <row r="29" spans="2:7">
      <c r="B29" s="178">
        <f>'In Produk'!B18</f>
        <v>13</v>
      </c>
      <c r="C29" s="179" t="str">
        <f>'In Produk'!C18</f>
        <v>Tinta printer Epson</v>
      </c>
      <c r="D29" s="180" t="str">
        <f>'In Produk'!D18</f>
        <v xml:space="preserve">Buah </v>
      </c>
      <c r="E29" s="181">
        <f>'In Produk'!H18</f>
        <v>30</v>
      </c>
      <c r="F29" s="182">
        <f>'In Produk'!G18</f>
        <v>150000</v>
      </c>
      <c r="G29" s="183">
        <f>'In Produk'!I18</f>
        <v>4500000</v>
      </c>
    </row>
    <row r="30" spans="2:7">
      <c r="B30" s="178">
        <f>'In Produk'!B19</f>
        <v>14</v>
      </c>
      <c r="C30" s="179" t="str">
        <f>'In Produk'!C19</f>
        <v>Tinta Printer Brother</v>
      </c>
      <c r="D30" s="180" t="str">
        <f>'In Produk'!D19</f>
        <v>Buah</v>
      </c>
      <c r="E30" s="181">
        <f>'In Produk'!H19</f>
        <v>10</v>
      </c>
      <c r="F30" s="182">
        <f>'In Produk'!G19</f>
        <v>150000</v>
      </c>
      <c r="G30" s="183">
        <f>'In Produk'!I19</f>
        <v>1500000</v>
      </c>
    </row>
    <row r="31" spans="2:7">
      <c r="B31" s="178">
        <f>'In Produk'!B20</f>
        <v>15</v>
      </c>
      <c r="C31" s="179" t="str">
        <f>'In Produk'!C20</f>
        <v>Mouse</v>
      </c>
      <c r="D31" s="180" t="str">
        <f>'In Produk'!D20</f>
        <v>Buah</v>
      </c>
      <c r="E31" s="181">
        <f>'In Produk'!H20</f>
        <v>2</v>
      </c>
      <c r="F31" s="182">
        <f>'In Produk'!G20</f>
        <v>150000</v>
      </c>
      <c r="G31" s="183">
        <f>'In Produk'!I20</f>
        <v>300000</v>
      </c>
    </row>
    <row r="32" spans="2:7">
      <c r="B32" s="178">
        <f>'In Produk'!B21</f>
        <v>16</v>
      </c>
      <c r="C32" s="179" t="str">
        <f>'In Produk'!C21</f>
        <v>Bantalan Mouse</v>
      </c>
      <c r="D32" s="180" t="str">
        <f>'In Produk'!D21</f>
        <v>Buah</v>
      </c>
      <c r="E32" s="181">
        <f>'In Produk'!H21</f>
        <v>2</v>
      </c>
      <c r="F32" s="182">
        <f>'In Produk'!G21</f>
        <v>25000</v>
      </c>
      <c r="G32" s="183">
        <f>'In Produk'!I21</f>
        <v>50000</v>
      </c>
    </row>
    <row r="33" spans="2:7">
      <c r="B33" s="178">
        <f>'In Produk'!B22</f>
        <v>17</v>
      </c>
      <c r="C33" s="179" t="str">
        <f>'In Produk'!C22</f>
        <v>Lakban Bening 5 cm</v>
      </c>
      <c r="D33" s="180" t="str">
        <f>'In Produk'!D22</f>
        <v>Buah</v>
      </c>
      <c r="E33" s="181">
        <f>'In Produk'!H22</f>
        <v>10</v>
      </c>
      <c r="F33" s="182">
        <f>'In Produk'!G22</f>
        <v>15000</v>
      </c>
      <c r="G33" s="183">
        <f>'In Produk'!I22</f>
        <v>150000</v>
      </c>
    </row>
    <row r="34" spans="2:7" ht="15.75">
      <c r="B34" s="366" t="s">
        <v>184</v>
      </c>
      <c r="C34" s="367"/>
      <c r="D34" s="367"/>
      <c r="E34" s="367"/>
      <c r="F34" s="368"/>
      <c r="G34" s="184">
        <f>SUM(G17:G33)</f>
        <v>15000000</v>
      </c>
    </row>
    <row r="35" spans="2:7" ht="15.75">
      <c r="B35" s="366" t="s">
        <v>139</v>
      </c>
      <c r="C35" s="367"/>
      <c r="D35" s="367"/>
      <c r="E35" s="367"/>
      <c r="F35" s="368"/>
      <c r="G35" s="184">
        <f>'In Produk'!I36</f>
        <v>1486486.4864864864</v>
      </c>
    </row>
    <row r="36" spans="2:7" ht="15.75">
      <c r="B36" s="366" t="s">
        <v>10</v>
      </c>
      <c r="C36" s="367"/>
      <c r="D36" s="367"/>
      <c r="E36" s="367"/>
      <c r="F36" s="368"/>
      <c r="G36" s="184">
        <f>'In Produk'!I37</f>
        <v>0</v>
      </c>
    </row>
    <row r="37" spans="2:7" ht="15.75">
      <c r="B37" s="366" t="s">
        <v>11</v>
      </c>
      <c r="C37" s="367"/>
      <c r="D37" s="367"/>
      <c r="E37" s="367"/>
      <c r="F37" s="368"/>
      <c r="G37" s="184">
        <f>'In Produk'!I38</f>
        <v>0</v>
      </c>
    </row>
    <row r="38" spans="2:7" ht="15.75">
      <c r="B38" s="366" t="s">
        <v>185</v>
      </c>
      <c r="C38" s="367"/>
      <c r="D38" s="367"/>
      <c r="E38" s="367"/>
      <c r="F38" s="368"/>
      <c r="G38" s="184">
        <f>'In Produk'!I39</f>
        <v>13513513.513513513</v>
      </c>
    </row>
    <row r="39" spans="2:7" ht="15.75">
      <c r="B39" s="369" t="e">
        <f ca="1">PROPER([1]!terbilang(G34)&amp;" Rupiah"&amp;"")</f>
        <v>#NAME?</v>
      </c>
      <c r="C39" s="370"/>
      <c r="D39" s="370"/>
      <c r="E39" s="370"/>
      <c r="F39" s="370"/>
      <c r="G39" s="371"/>
    </row>
    <row r="40" spans="2:7" ht="15.75">
      <c r="B40" s="53"/>
      <c r="C40" s="53"/>
      <c r="D40" s="53"/>
      <c r="E40" s="53"/>
      <c r="F40" s="53"/>
      <c r="G40" s="53"/>
    </row>
    <row r="41" spans="2:7" ht="15.75">
      <c r="B41" s="167"/>
      <c r="C41" s="167" t="s">
        <v>186</v>
      </c>
      <c r="D41" s="167"/>
      <c r="E41" s="167"/>
      <c r="F41" s="167" t="s">
        <v>187</v>
      </c>
      <c r="G41" s="167"/>
    </row>
    <row r="42" spans="2:7" ht="15.75">
      <c r="B42" s="167"/>
      <c r="C42" s="167" t="s">
        <v>326</v>
      </c>
      <c r="D42" s="167"/>
      <c r="E42" s="167"/>
      <c r="F42" s="167" t="str">
        <f>'In Data'!C68</f>
        <v xml:space="preserve">CV. AFWAN </v>
      </c>
      <c r="G42" s="167"/>
    </row>
    <row r="43" spans="2:7" ht="15.75">
      <c r="B43" s="167"/>
      <c r="C43" s="167"/>
      <c r="D43" s="167"/>
      <c r="E43" s="167"/>
      <c r="F43" s="167"/>
      <c r="G43" s="167"/>
    </row>
    <row r="44" spans="2:7" ht="15.75">
      <c r="B44" s="167"/>
      <c r="C44" s="167"/>
      <c r="D44" s="167"/>
      <c r="E44" s="167"/>
      <c r="F44" s="167"/>
      <c r="G44" s="167"/>
    </row>
    <row r="45" spans="2:7" ht="15.75">
      <c r="B45" s="167"/>
      <c r="C45" s="167"/>
      <c r="D45" s="167"/>
      <c r="E45" s="167"/>
      <c r="F45" s="167"/>
      <c r="G45" s="167"/>
    </row>
    <row r="46" spans="2:7" ht="15.75">
      <c r="B46" s="167"/>
      <c r="C46" s="167"/>
      <c r="D46" s="167"/>
      <c r="E46" s="167"/>
      <c r="F46" s="185"/>
      <c r="G46" s="167"/>
    </row>
    <row r="47" spans="2:7" ht="15.75">
      <c r="B47" s="167"/>
      <c r="C47" s="167"/>
      <c r="D47" s="167"/>
      <c r="E47" s="167"/>
      <c r="F47" s="185"/>
      <c r="G47" s="167"/>
    </row>
    <row r="48" spans="2:7" ht="15.75">
      <c r="B48" s="167"/>
      <c r="C48" s="186" t="str">
        <f>'In Data'!C26</f>
        <v>Fitri Yurnita, S.Pd</v>
      </c>
      <c r="D48" s="167"/>
      <c r="E48" s="167"/>
      <c r="F48" s="187" t="str">
        <f>'In Data'!C54</f>
        <v>Mega Afriyanti, S.Pd</v>
      </c>
      <c r="G48" s="167"/>
    </row>
    <row r="49" spans="2:7" ht="15.75">
      <c r="B49" s="167"/>
      <c r="C49" s="188" t="str">
        <f>"NIP. "&amp;'In Data'!C27&amp;""</f>
        <v>NIP. 198008142009032002</v>
      </c>
      <c r="D49" s="167"/>
      <c r="E49" s="167"/>
      <c r="F49" s="189" t="str">
        <f>'[2]INPUT DATA'!C56</f>
        <v>Direktur</v>
      </c>
      <c r="G49" s="167"/>
    </row>
  </sheetData>
  <mergeCells count="8">
    <mergeCell ref="B38:F38"/>
    <mergeCell ref="B39:G39"/>
    <mergeCell ref="B10:G10"/>
    <mergeCell ref="B14:C14"/>
    <mergeCell ref="B34:F34"/>
    <mergeCell ref="B35:F35"/>
    <mergeCell ref="B36:F36"/>
    <mergeCell ref="B37:F37"/>
  </mergeCells>
  <pageMargins left="0.9055118110236221" right="0.70866141732283472" top="0.74803149606299213" bottom="0.74803149606299213" header="0.31496062992125984" footer="0.31496062992125984"/>
  <pageSetup paperSize="14" scale="6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6027-9304-4976-9DE3-6816FE8C7B52}">
  <sheetPr>
    <pageSetUpPr fitToPage="1"/>
  </sheetPr>
  <dimension ref="B1:L49"/>
  <sheetViews>
    <sheetView showGridLines="0" tabSelected="1" zoomScaleNormal="100" workbookViewId="0">
      <selection activeCell="M37" sqref="M37"/>
    </sheetView>
  </sheetViews>
  <sheetFormatPr defaultRowHeight="15"/>
  <cols>
    <col min="2" max="2" width="5.5703125" customWidth="1"/>
    <col min="3" max="3" width="17" customWidth="1"/>
    <col min="4" max="4" width="2.140625" customWidth="1"/>
    <col min="5" max="5" width="18.5703125" customWidth="1"/>
    <col min="6" max="7" width="6.85546875" customWidth="1"/>
    <col min="8" max="8" width="11.42578125" customWidth="1"/>
    <col min="9" max="9" width="9.28515625" customWidth="1"/>
    <col min="10" max="10" width="2.140625" customWidth="1"/>
    <col min="11" max="11" width="35.140625" customWidth="1"/>
    <col min="12" max="12" width="2.42578125" customWidth="1"/>
  </cols>
  <sheetData>
    <row r="1" spans="2:12" ht="15.75" thickBot="1"/>
    <row r="2" spans="2:12">
      <c r="B2" s="190"/>
      <c r="C2" s="191"/>
      <c r="D2" s="191"/>
      <c r="E2" s="191"/>
      <c r="F2" s="191"/>
      <c r="G2" s="191"/>
      <c r="H2" s="191"/>
      <c r="I2" s="191"/>
      <c r="J2" s="191"/>
      <c r="K2" s="191"/>
      <c r="L2" s="192"/>
    </row>
    <row r="3" spans="2:12">
      <c r="B3" s="193"/>
      <c r="C3" s="194"/>
      <c r="D3" s="194"/>
      <c r="E3" s="194"/>
      <c r="F3" s="194"/>
      <c r="G3" s="194"/>
      <c r="H3" s="194"/>
      <c r="I3" s="194"/>
      <c r="J3" s="194"/>
      <c r="K3" s="194"/>
      <c r="L3" s="195"/>
    </row>
    <row r="4" spans="2:12">
      <c r="B4" s="193"/>
      <c r="C4" s="194"/>
      <c r="D4" s="194"/>
      <c r="E4" s="194"/>
      <c r="F4" s="194"/>
      <c r="G4" s="194"/>
      <c r="H4" s="194"/>
      <c r="I4" s="194"/>
      <c r="J4" s="194"/>
      <c r="K4" s="194"/>
      <c r="L4" s="195"/>
    </row>
    <row r="5" spans="2:12">
      <c r="B5" s="193"/>
      <c r="C5" s="194"/>
      <c r="D5" s="194"/>
      <c r="E5" s="194"/>
      <c r="F5" s="194"/>
      <c r="G5" s="194"/>
      <c r="H5" s="194"/>
      <c r="I5" s="194"/>
      <c r="J5" s="194"/>
      <c r="K5" s="194"/>
      <c r="L5" s="195"/>
    </row>
    <row r="6" spans="2:12">
      <c r="B6" s="193"/>
      <c r="C6" s="194"/>
      <c r="D6" s="194"/>
      <c r="E6" s="194"/>
      <c r="F6" s="194"/>
      <c r="G6" s="194"/>
      <c r="H6" s="194"/>
      <c r="I6" s="194"/>
      <c r="J6" s="194"/>
      <c r="K6" s="194"/>
      <c r="L6" s="195"/>
    </row>
    <row r="7" spans="2:12">
      <c r="B7" s="193"/>
      <c r="C7" s="194"/>
      <c r="D7" s="194"/>
      <c r="E7" s="194"/>
      <c r="F7" s="194"/>
      <c r="G7" s="194"/>
      <c r="H7" s="194"/>
      <c r="I7" s="194"/>
      <c r="J7" s="194"/>
      <c r="K7" s="194"/>
      <c r="L7" s="195"/>
    </row>
    <row r="8" spans="2:12">
      <c r="B8" s="193"/>
      <c r="C8" s="194"/>
      <c r="D8" s="194"/>
      <c r="E8" s="194"/>
      <c r="F8" s="194"/>
      <c r="G8" s="194"/>
      <c r="H8" s="194"/>
      <c r="I8" s="194"/>
      <c r="J8" s="194"/>
      <c r="K8" s="194"/>
      <c r="L8" s="195"/>
    </row>
    <row r="9" spans="2:12" ht="15.75" thickBot="1">
      <c r="B9" s="196"/>
      <c r="C9" s="197"/>
      <c r="D9" s="197"/>
      <c r="E9" s="197"/>
      <c r="F9" s="197"/>
      <c r="G9" s="197"/>
      <c r="H9" s="197"/>
      <c r="I9" s="197"/>
      <c r="J9" s="197"/>
      <c r="K9" s="197"/>
      <c r="L9" s="198"/>
    </row>
    <row r="10" spans="2:12">
      <c r="B10" s="190"/>
      <c r="C10" s="191"/>
      <c r="D10" s="191"/>
      <c r="E10" s="191"/>
      <c r="F10" s="191"/>
      <c r="G10" s="191"/>
      <c r="H10" s="191"/>
      <c r="I10" s="191"/>
      <c r="J10" s="191"/>
      <c r="K10" s="191"/>
      <c r="L10" s="192"/>
    </row>
    <row r="11" spans="2:12" ht="15.75">
      <c r="B11" s="199"/>
      <c r="C11" s="374" t="s">
        <v>188</v>
      </c>
      <c r="D11" s="374"/>
      <c r="E11" s="374"/>
      <c r="F11" s="374"/>
      <c r="G11" s="374"/>
      <c r="H11" s="374"/>
      <c r="I11" s="374"/>
      <c r="J11" s="374"/>
      <c r="K11" s="374"/>
      <c r="L11" s="195"/>
    </row>
    <row r="12" spans="2:12" ht="15.75">
      <c r="B12" s="200"/>
      <c r="C12" s="201"/>
      <c r="D12" s="201"/>
      <c r="E12" s="201"/>
      <c r="F12" s="201"/>
      <c r="G12" s="201"/>
      <c r="H12" s="201"/>
      <c r="I12" s="201"/>
      <c r="J12" s="201"/>
      <c r="K12" s="202"/>
      <c r="L12" s="195"/>
    </row>
    <row r="13" spans="2:12" ht="15.75">
      <c r="B13" s="199"/>
      <c r="C13" s="202"/>
      <c r="D13" s="202"/>
      <c r="E13" s="202"/>
      <c r="F13" s="202"/>
      <c r="G13" s="202"/>
      <c r="H13" s="202" t="s">
        <v>189</v>
      </c>
      <c r="I13" s="202"/>
      <c r="J13" s="202" t="s">
        <v>102</v>
      </c>
      <c r="K13" s="203">
        <f>'In Data'!C49</f>
        <v>2026</v>
      </c>
      <c r="L13" s="195"/>
    </row>
    <row r="14" spans="2:12" ht="15.75">
      <c r="B14" s="199"/>
      <c r="C14" s="202"/>
      <c r="D14" s="202"/>
      <c r="E14" s="202"/>
      <c r="F14" s="202"/>
      <c r="G14" s="202"/>
      <c r="H14" s="202" t="s">
        <v>190</v>
      </c>
      <c r="I14" s="202"/>
      <c r="J14" s="202" t="s">
        <v>102</v>
      </c>
      <c r="K14" s="203" t="str">
        <f>'In Data'!C11</f>
        <v>050102/CV.AFWAN/02/2026</v>
      </c>
      <c r="L14" s="195"/>
    </row>
    <row r="15" spans="2:12" ht="15.75">
      <c r="B15" s="199"/>
      <c r="C15" s="202"/>
      <c r="D15" s="202"/>
      <c r="E15" s="202"/>
      <c r="F15" s="202"/>
      <c r="G15" s="202"/>
      <c r="H15" s="202" t="s">
        <v>191</v>
      </c>
      <c r="I15" s="202"/>
      <c r="J15" s="202" t="s">
        <v>102</v>
      </c>
      <c r="K15" s="203" t="str">
        <f>'In Data'!C50</f>
        <v>BOSP</v>
      </c>
      <c r="L15" s="195"/>
    </row>
    <row r="16" spans="2:12" ht="15.75">
      <c r="B16" s="199"/>
      <c r="C16" s="202"/>
      <c r="D16" s="202"/>
      <c r="E16" s="202"/>
      <c r="F16" s="202"/>
      <c r="G16" s="202"/>
      <c r="H16" s="202"/>
      <c r="I16" s="202"/>
      <c r="J16" s="202"/>
      <c r="K16" s="202"/>
      <c r="L16" s="195"/>
    </row>
    <row r="17" spans="2:12" ht="15.75">
      <c r="B17" s="199" t="s">
        <v>192</v>
      </c>
      <c r="C17" s="202"/>
      <c r="D17" s="202" t="s">
        <v>102</v>
      </c>
      <c r="E17" s="202" t="str">
        <f>'In Data'!C18</f>
        <v xml:space="preserve">SMA NEGERI 1 PAGELARAN </v>
      </c>
      <c r="F17" s="202"/>
      <c r="G17" s="202"/>
      <c r="H17" s="202"/>
      <c r="I17" s="202"/>
      <c r="J17" s="202"/>
      <c r="K17" s="202"/>
      <c r="L17" s="195"/>
    </row>
    <row r="18" spans="2:12" ht="15.75">
      <c r="B18" s="199" t="s">
        <v>193</v>
      </c>
      <c r="C18" s="202"/>
      <c r="D18" s="202" t="s">
        <v>102</v>
      </c>
      <c r="E18" s="204">
        <f>'In Data'!C41</f>
        <v>15000000</v>
      </c>
      <c r="F18" s="202"/>
      <c r="G18" s="202"/>
      <c r="H18" s="202"/>
      <c r="I18" s="202"/>
      <c r="J18" s="202"/>
      <c r="K18" s="202"/>
      <c r="L18" s="195"/>
    </row>
    <row r="19" spans="2:12" ht="15.75">
      <c r="B19" s="205" t="s">
        <v>194</v>
      </c>
      <c r="C19" s="202"/>
      <c r="D19" s="206" t="s">
        <v>102</v>
      </c>
      <c r="E19" s="375" t="e">
        <f ca="1">'In Data'!C42</f>
        <v>#NAME?</v>
      </c>
      <c r="F19" s="376">
        <v>0</v>
      </c>
      <c r="G19" s="376">
        <v>0</v>
      </c>
      <c r="H19" s="376">
        <v>0</v>
      </c>
      <c r="I19" s="376">
        <v>0</v>
      </c>
      <c r="J19" s="376">
        <v>0</v>
      </c>
      <c r="K19" s="376">
        <v>0</v>
      </c>
      <c r="L19" s="195"/>
    </row>
    <row r="20" spans="2:12" ht="15.75">
      <c r="B20" s="199" t="s">
        <v>195</v>
      </c>
      <c r="C20" s="202"/>
      <c r="D20" s="202" t="s">
        <v>102</v>
      </c>
      <c r="E20" s="202" t="str">
        <f>'In Data'!C38</f>
        <v>Belanja Alat Tulis Kantor</v>
      </c>
      <c r="F20" s="202"/>
      <c r="G20" s="202"/>
      <c r="H20" s="202"/>
      <c r="I20" s="202"/>
      <c r="J20" s="202"/>
      <c r="K20" s="202"/>
      <c r="L20" s="195"/>
    </row>
    <row r="21" spans="2:12" ht="15.75">
      <c r="B21" s="199"/>
      <c r="C21" s="202"/>
      <c r="D21" s="202"/>
      <c r="E21" s="202"/>
      <c r="F21" s="202"/>
      <c r="G21" s="202"/>
      <c r="H21" s="202"/>
      <c r="I21" s="202"/>
      <c r="J21" s="202"/>
      <c r="K21" s="202"/>
      <c r="L21" s="195"/>
    </row>
    <row r="22" spans="2:12" ht="15.75">
      <c r="B22" s="199"/>
      <c r="C22" s="202"/>
      <c r="D22" s="202"/>
      <c r="E22" s="202"/>
      <c r="F22" s="207"/>
      <c r="G22" s="202"/>
      <c r="H22" s="202"/>
      <c r="I22" s="202"/>
      <c r="J22" s="208" t="str">
        <f>"Cianjur, "&amp;'In Data'!E11&amp;""</f>
        <v>Cianjur, 05 Februari 2026</v>
      </c>
      <c r="K22" s="202"/>
      <c r="L22" s="195"/>
    </row>
    <row r="23" spans="2:12" ht="15.75">
      <c r="B23" s="199"/>
      <c r="C23" s="207" t="s">
        <v>196</v>
      </c>
      <c r="D23" s="202"/>
      <c r="E23" s="202"/>
      <c r="F23" s="208"/>
      <c r="G23" s="202"/>
      <c r="H23" s="202"/>
      <c r="I23" s="202"/>
      <c r="J23" s="207" t="s">
        <v>197</v>
      </c>
      <c r="K23" s="202"/>
      <c r="L23" s="195"/>
    </row>
    <row r="24" spans="2:12" ht="15.75">
      <c r="B24" s="199"/>
      <c r="C24" s="207" t="s">
        <v>326</v>
      </c>
      <c r="D24" s="202"/>
      <c r="E24" s="202"/>
      <c r="F24" s="207"/>
      <c r="G24" s="202"/>
      <c r="H24" s="202"/>
      <c r="I24" s="202"/>
      <c r="J24" s="209" t="str">
        <f>'In Data'!C68</f>
        <v xml:space="preserve">CV. AFWAN </v>
      </c>
      <c r="K24" s="202"/>
      <c r="L24" s="195"/>
    </row>
    <row r="25" spans="2:12" ht="15.75">
      <c r="B25" s="210"/>
      <c r="C25" s="211"/>
      <c r="D25" s="211"/>
      <c r="E25" s="211"/>
      <c r="F25" s="211"/>
      <c r="G25" s="202"/>
      <c r="H25" s="202"/>
      <c r="I25" s="202"/>
      <c r="J25" s="202"/>
      <c r="K25" s="202"/>
      <c r="L25" s="195"/>
    </row>
    <row r="26" spans="2:12" ht="15.75" hidden="1">
      <c r="B26" s="210"/>
      <c r="C26" s="211"/>
      <c r="D26" s="211"/>
      <c r="E26" s="211"/>
      <c r="F26" s="211"/>
      <c r="G26" s="202"/>
      <c r="H26" s="202"/>
      <c r="I26" s="202"/>
      <c r="J26" s="202"/>
      <c r="K26" s="202"/>
      <c r="L26" s="195"/>
    </row>
    <row r="27" spans="2:12" ht="15.75">
      <c r="B27" s="210"/>
      <c r="C27" s="211"/>
      <c r="D27" s="211"/>
      <c r="E27" s="211"/>
      <c r="F27" s="211"/>
      <c r="G27" s="202"/>
      <c r="H27" s="202"/>
      <c r="I27" s="202"/>
      <c r="J27" s="202"/>
      <c r="K27" s="202"/>
      <c r="L27" s="195"/>
    </row>
    <row r="28" spans="2:12" ht="15.75">
      <c r="B28" s="210"/>
      <c r="C28" s="211"/>
      <c r="D28" s="211"/>
      <c r="E28" s="211"/>
      <c r="F28" s="211"/>
      <c r="G28" s="202"/>
      <c r="H28" s="202"/>
      <c r="I28" s="202"/>
      <c r="J28" s="202"/>
      <c r="K28" s="202"/>
      <c r="L28" s="195"/>
    </row>
    <row r="29" spans="2:12" ht="15.75">
      <c r="B29" s="210"/>
      <c r="C29" s="211"/>
      <c r="D29" s="211"/>
      <c r="E29" s="211"/>
      <c r="F29" s="211"/>
      <c r="G29" s="202"/>
      <c r="H29" s="202"/>
      <c r="I29" s="202"/>
      <c r="J29" s="202"/>
      <c r="K29" s="202"/>
      <c r="L29" s="195"/>
    </row>
    <row r="30" spans="2:12" ht="15.75">
      <c r="B30" s="210"/>
      <c r="C30" s="211"/>
      <c r="D30" s="211"/>
      <c r="E30" s="211"/>
      <c r="F30" s="211"/>
      <c r="G30" s="202"/>
      <c r="H30" s="202"/>
      <c r="I30" s="202"/>
      <c r="J30" s="202"/>
      <c r="K30" s="202"/>
      <c r="L30" s="195"/>
    </row>
    <row r="31" spans="2:12" ht="15.75">
      <c r="B31" s="212"/>
      <c r="C31" s="202"/>
      <c r="D31" s="202"/>
      <c r="E31" s="202"/>
      <c r="F31" s="202"/>
      <c r="G31" s="202"/>
      <c r="H31" s="213"/>
      <c r="I31" s="213"/>
      <c r="J31" s="213"/>
      <c r="K31" s="213"/>
      <c r="L31" s="195"/>
    </row>
    <row r="32" spans="2:12" ht="15.75">
      <c r="B32" s="199"/>
      <c r="C32" s="202"/>
      <c r="D32" s="202"/>
      <c r="E32" s="202"/>
      <c r="F32" s="202"/>
      <c r="G32" s="202"/>
      <c r="H32" s="202"/>
      <c r="I32" s="202"/>
      <c r="J32" s="202"/>
      <c r="K32" s="202"/>
      <c r="L32" s="195"/>
    </row>
    <row r="33" spans="2:12" ht="15.75">
      <c r="B33" s="214"/>
      <c r="C33" s="215" t="str">
        <f>'In Data'!C26</f>
        <v>Fitri Yurnita, S.Pd</v>
      </c>
      <c r="D33" s="216"/>
      <c r="E33" s="216"/>
      <c r="F33" s="215"/>
      <c r="G33" s="216"/>
      <c r="H33" s="215"/>
      <c r="I33" s="215"/>
      <c r="J33" s="215" t="str">
        <f>'In Data'!C54</f>
        <v>Mega Afriyanti, S.Pd</v>
      </c>
      <c r="K33" s="215"/>
      <c r="L33" s="217"/>
    </row>
    <row r="34" spans="2:12" ht="15.75">
      <c r="B34" s="214"/>
      <c r="C34" s="216" t="str">
        <f>"NIP. "&amp;'In Data'!C27&amp;""</f>
        <v>NIP. 198008142009032002</v>
      </c>
      <c r="D34" s="216"/>
      <c r="E34" s="216"/>
      <c r="F34" s="218"/>
      <c r="G34" s="216"/>
      <c r="H34" s="216"/>
      <c r="I34" s="216"/>
      <c r="J34" s="216" t="str">
        <f>'[2]INPUT DATA'!C56</f>
        <v>Direktur</v>
      </c>
      <c r="K34" s="216"/>
      <c r="L34" s="217"/>
    </row>
    <row r="35" spans="2:12" ht="16.5" thickBot="1">
      <c r="B35" s="219"/>
      <c r="C35" s="220"/>
      <c r="D35" s="220"/>
      <c r="E35" s="220"/>
      <c r="F35" s="221"/>
      <c r="G35" s="220"/>
      <c r="H35" s="220"/>
      <c r="I35" s="220"/>
      <c r="J35" s="220"/>
      <c r="K35" s="220"/>
      <c r="L35" s="222"/>
    </row>
    <row r="36" spans="2:12" ht="15.75">
      <c r="B36" s="214"/>
      <c r="C36" s="216"/>
      <c r="D36" s="216"/>
      <c r="E36" s="216"/>
      <c r="F36" s="218"/>
      <c r="G36" s="216"/>
      <c r="H36" s="216"/>
      <c r="I36" s="216"/>
      <c r="J36" s="216"/>
      <c r="K36" s="216"/>
      <c r="L36" s="217"/>
    </row>
    <row r="37" spans="2:12" ht="15.75">
      <c r="B37" s="214"/>
      <c r="C37" s="377" t="s">
        <v>198</v>
      </c>
      <c r="D37" s="377"/>
      <c r="E37" s="377"/>
      <c r="F37" s="377"/>
      <c r="G37" s="377"/>
      <c r="H37" s="377"/>
      <c r="I37" s="377"/>
      <c r="J37" s="377"/>
      <c r="K37" s="377"/>
      <c r="L37" s="217"/>
    </row>
    <row r="38" spans="2:12" ht="15.75">
      <c r="B38" s="214"/>
      <c r="C38" s="377" t="s">
        <v>55</v>
      </c>
      <c r="D38" s="377"/>
      <c r="E38" s="377"/>
      <c r="F38" s="377"/>
      <c r="G38" s="377"/>
      <c r="H38" s="377"/>
      <c r="I38" s="377"/>
      <c r="J38" s="377"/>
      <c r="K38" s="377"/>
      <c r="L38" s="217"/>
    </row>
    <row r="39" spans="2:12" ht="15.75">
      <c r="B39" s="214"/>
      <c r="C39" s="216"/>
      <c r="D39" s="216"/>
      <c r="E39" s="216"/>
      <c r="F39" s="218"/>
      <c r="G39" s="216"/>
      <c r="H39" s="216"/>
      <c r="I39" s="216"/>
      <c r="J39" s="216"/>
      <c r="K39" s="216"/>
      <c r="L39" s="217"/>
    </row>
    <row r="40" spans="2:12" ht="15.75">
      <c r="B40" s="214"/>
      <c r="C40" s="216"/>
      <c r="D40" s="216"/>
      <c r="E40" s="216"/>
      <c r="F40" s="218"/>
      <c r="G40" s="216"/>
      <c r="H40" s="216"/>
      <c r="I40" s="216"/>
      <c r="J40" s="216"/>
      <c r="K40" s="216"/>
      <c r="L40" s="217"/>
    </row>
    <row r="41" spans="2:12" ht="15.75">
      <c r="B41" s="214"/>
      <c r="C41" s="216"/>
      <c r="D41" s="216"/>
      <c r="E41" s="216"/>
      <c r="F41" s="218"/>
      <c r="G41" s="216"/>
      <c r="H41" s="216"/>
      <c r="I41" s="216"/>
      <c r="J41" s="216"/>
      <c r="K41" s="216"/>
      <c r="L41" s="217"/>
    </row>
    <row r="42" spans="2:12" ht="15.75">
      <c r="B42" s="214"/>
      <c r="C42" s="216"/>
      <c r="D42" s="216"/>
      <c r="E42" s="216"/>
      <c r="F42" s="218"/>
      <c r="G42" s="216"/>
      <c r="H42" s="216"/>
      <c r="I42" s="216"/>
      <c r="J42" s="216"/>
      <c r="K42" s="216"/>
      <c r="L42" s="217"/>
    </row>
    <row r="43" spans="2:12" ht="15.75">
      <c r="B43" s="214"/>
      <c r="C43" s="216"/>
      <c r="D43" s="216"/>
      <c r="E43" s="216"/>
      <c r="F43" s="218"/>
      <c r="G43" s="216"/>
      <c r="H43" s="216"/>
      <c r="I43" s="216"/>
      <c r="J43" s="216"/>
      <c r="K43" s="216"/>
      <c r="L43" s="217"/>
    </row>
    <row r="44" spans="2:12" ht="15.75">
      <c r="B44" s="214"/>
      <c r="C44" s="216"/>
      <c r="D44" s="216"/>
      <c r="E44" s="216"/>
      <c r="F44" s="218"/>
      <c r="G44" s="216"/>
      <c r="H44" s="216"/>
      <c r="I44" s="216"/>
      <c r="J44" s="216"/>
      <c r="K44" s="216"/>
      <c r="L44" s="217"/>
    </row>
    <row r="45" spans="2:12" ht="15.75">
      <c r="B45" s="214"/>
      <c r="C45" s="216"/>
      <c r="D45" s="216"/>
      <c r="E45" s="216"/>
      <c r="F45" s="218"/>
      <c r="G45" s="216"/>
      <c r="H45" s="216"/>
      <c r="I45" s="216"/>
      <c r="J45" s="216"/>
      <c r="K45" s="216"/>
      <c r="L45" s="217"/>
    </row>
    <row r="46" spans="2:12" ht="15.75">
      <c r="B46" s="214"/>
      <c r="C46" s="216"/>
      <c r="D46" s="216"/>
      <c r="E46" s="216"/>
      <c r="F46" s="218"/>
      <c r="G46" s="216"/>
      <c r="H46" s="216"/>
      <c r="I46" s="216"/>
      <c r="J46" s="216"/>
      <c r="K46" s="216"/>
      <c r="L46" s="217"/>
    </row>
    <row r="47" spans="2:12" ht="15.75">
      <c r="B47" s="214"/>
      <c r="C47" s="378" t="str">
        <f>'In Data'!C32</f>
        <v>Hamdani</v>
      </c>
      <c r="D47" s="378"/>
      <c r="E47" s="378"/>
      <c r="F47" s="378"/>
      <c r="G47" s="378"/>
      <c r="H47" s="378"/>
      <c r="I47" s="378"/>
      <c r="J47" s="378"/>
      <c r="K47" s="378"/>
      <c r="L47" s="217"/>
    </row>
    <row r="48" spans="2:12" ht="15.75">
      <c r="B48" s="214"/>
      <c r="C48" s="374" t="str">
        <f>"NIP. "&amp;'In Data'!C33&amp;""</f>
        <v>NIP. -</v>
      </c>
      <c r="D48" s="374"/>
      <c r="E48" s="374"/>
      <c r="F48" s="374"/>
      <c r="G48" s="374"/>
      <c r="H48" s="374"/>
      <c r="I48" s="374"/>
      <c r="J48" s="374"/>
      <c r="K48" s="374"/>
      <c r="L48" s="217"/>
    </row>
    <row r="49" spans="2:12" ht="16.5" thickBot="1">
      <c r="B49" s="223"/>
      <c r="C49" s="224"/>
      <c r="D49" s="224"/>
      <c r="E49" s="224"/>
      <c r="F49" s="224"/>
      <c r="G49" s="224"/>
      <c r="H49" s="224"/>
      <c r="I49" s="224"/>
      <c r="J49" s="224"/>
      <c r="K49" s="224"/>
      <c r="L49" s="198"/>
    </row>
  </sheetData>
  <mergeCells count="6">
    <mergeCell ref="C48:K48"/>
    <mergeCell ref="C11:K11"/>
    <mergeCell ref="E19:K19"/>
    <mergeCell ref="C37:K37"/>
    <mergeCell ref="C38:K38"/>
    <mergeCell ref="C47:K47"/>
  </mergeCells>
  <pageMargins left="0.70866141732283472" right="0.70866141732283472" top="0.74803149606299213" bottom="0.74803149606299213" header="0.31496062992125984" footer="0.31496062992125984"/>
  <pageSetup paperSize="14" scale="68"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0D08-2926-4C12-93F6-859C51A8570B}">
  <sheetPr>
    <pageSetUpPr fitToPage="1"/>
  </sheetPr>
  <dimension ref="B1:K56"/>
  <sheetViews>
    <sheetView showGridLines="0" tabSelected="1" topLeftCell="A28" zoomScaleNormal="100" workbookViewId="0">
      <selection activeCell="M37" sqref="M37"/>
    </sheetView>
  </sheetViews>
  <sheetFormatPr defaultRowHeight="15"/>
  <cols>
    <col min="2" max="2" width="4" customWidth="1"/>
    <col min="3" max="3" width="27.85546875" customWidth="1"/>
    <col min="4" max="4" width="2.140625" bestFit="1" customWidth="1"/>
    <col min="5" max="5" width="19.28515625" customWidth="1"/>
    <col min="6" max="6" width="12.140625" customWidth="1"/>
    <col min="7" max="10" width="9.85546875" customWidth="1"/>
    <col min="11" max="11" width="11" customWidth="1"/>
  </cols>
  <sheetData>
    <row r="1" spans="2:11" ht="15.75" thickBot="1"/>
    <row r="2" spans="2:11" ht="15.75" thickTop="1">
      <c r="B2" s="225"/>
      <c r="C2" s="226"/>
      <c r="D2" s="226"/>
      <c r="E2" s="226"/>
      <c r="F2" s="226"/>
      <c r="G2" s="226"/>
      <c r="H2" s="226"/>
      <c r="I2" s="226"/>
      <c r="J2" s="226"/>
      <c r="K2" s="227"/>
    </row>
    <row r="3" spans="2:11" ht="23.25">
      <c r="B3" s="228"/>
      <c r="C3" s="229"/>
      <c r="D3" s="229"/>
      <c r="E3" s="229"/>
      <c r="F3" s="229"/>
      <c r="G3" s="229"/>
      <c r="H3" s="229"/>
      <c r="I3" s="229"/>
      <c r="J3" s="229"/>
      <c r="K3" s="230"/>
    </row>
    <row r="4" spans="2:11" ht="23.25">
      <c r="B4" s="228"/>
      <c r="C4" s="229"/>
      <c r="D4" s="229"/>
      <c r="E4" s="229"/>
      <c r="F4" s="229"/>
      <c r="G4" s="229"/>
      <c r="H4" s="229"/>
      <c r="I4" s="229"/>
      <c r="J4" s="229"/>
      <c r="K4" s="230"/>
    </row>
    <row r="5" spans="2:11" ht="15.75">
      <c r="B5" s="231"/>
      <c r="C5" s="53"/>
      <c r="D5" s="53"/>
      <c r="E5" s="53"/>
      <c r="F5" s="53"/>
      <c r="G5" s="53"/>
      <c r="H5" s="53"/>
      <c r="I5" s="53"/>
      <c r="J5" s="53"/>
      <c r="K5" s="232"/>
    </row>
    <row r="6" spans="2:11" ht="15.75">
      <c r="B6" s="231"/>
      <c r="C6" s="53"/>
      <c r="D6" s="53"/>
      <c r="E6" s="53"/>
      <c r="F6" s="53"/>
      <c r="G6" s="53"/>
      <c r="H6" s="53"/>
      <c r="I6" s="53"/>
      <c r="J6" s="53"/>
      <c r="K6" s="232"/>
    </row>
    <row r="7" spans="2:11">
      <c r="B7" s="233"/>
      <c r="K7" s="234"/>
    </row>
    <row r="8" spans="2:11">
      <c r="B8" s="233"/>
      <c r="K8" s="234"/>
    </row>
    <row r="9" spans="2:11">
      <c r="B9" s="233"/>
      <c r="K9" s="234"/>
    </row>
    <row r="10" spans="2:11">
      <c r="B10" s="233"/>
      <c r="K10" s="234"/>
    </row>
    <row r="11" spans="2:11">
      <c r="B11" s="233"/>
      <c r="K11" s="234"/>
    </row>
    <row r="12" spans="2:11">
      <c r="B12" s="233"/>
      <c r="K12" s="234"/>
    </row>
    <row r="13" spans="2:11">
      <c r="B13" s="233"/>
      <c r="K13" s="234"/>
    </row>
    <row r="14" spans="2:11">
      <c r="B14" s="233"/>
      <c r="K14" s="234"/>
    </row>
    <row r="15" spans="2:11">
      <c r="B15" s="233"/>
      <c r="K15" s="234"/>
    </row>
    <row r="16" spans="2:11">
      <c r="B16" s="233"/>
      <c r="K16" s="234"/>
    </row>
    <row r="17" spans="2:11" ht="20.25">
      <c r="B17" s="235"/>
      <c r="C17" s="317" t="str">
        <f>'In Data'!C15</f>
        <v>PEMERINTAH DAERAH PROVINSI JAWA BARAT</v>
      </c>
      <c r="D17" s="317"/>
      <c r="E17" s="317"/>
      <c r="F17" s="317"/>
      <c r="G17" s="317"/>
      <c r="H17" s="317"/>
      <c r="I17" s="317"/>
      <c r="J17" s="317"/>
      <c r="K17" s="236"/>
    </row>
    <row r="18" spans="2:11" ht="20.25">
      <c r="B18" s="233"/>
      <c r="C18" s="317"/>
      <c r="D18" s="317"/>
      <c r="E18" s="317"/>
      <c r="F18" s="317"/>
      <c r="G18" s="317"/>
      <c r="H18" s="317"/>
      <c r="I18" s="317"/>
      <c r="J18" s="317"/>
      <c r="K18" s="234"/>
    </row>
    <row r="19" spans="2:11" ht="23.25">
      <c r="B19" s="228"/>
      <c r="C19" s="318" t="str">
        <f>'In Data'!C18</f>
        <v xml:space="preserve">SMA NEGERI 1 PAGELARAN </v>
      </c>
      <c r="D19" s="318"/>
      <c r="E19" s="318"/>
      <c r="F19" s="318"/>
      <c r="G19" s="318"/>
      <c r="H19" s="318"/>
      <c r="I19" s="318"/>
      <c r="J19" s="318"/>
      <c r="K19" s="230"/>
    </row>
    <row r="20" spans="2:11" ht="15.75">
      <c r="B20" s="233"/>
      <c r="C20" s="319"/>
      <c r="D20" s="319"/>
      <c r="E20" s="319"/>
      <c r="F20" s="319"/>
      <c r="G20" s="319"/>
      <c r="H20" s="319"/>
      <c r="I20" s="319"/>
      <c r="J20" s="319"/>
      <c r="K20" s="234"/>
    </row>
    <row r="21" spans="2:11" ht="15.75">
      <c r="B21" s="237"/>
      <c r="C21" s="320" t="str">
        <f>'In Data'!C21</f>
        <v>Jalan Raya Pagelaran Kp. Cibeureum Desa Sindangkerta Rt. 06/Rw. 07  Pagelaran – Cianjur 43266</v>
      </c>
      <c r="D21" s="320"/>
      <c r="E21" s="320"/>
      <c r="F21" s="320"/>
      <c r="G21" s="320"/>
      <c r="H21" s="320"/>
      <c r="I21" s="320"/>
      <c r="J21" s="320"/>
      <c r="K21" s="238"/>
    </row>
    <row r="22" spans="2:11" ht="36" customHeight="1">
      <c r="B22" s="233"/>
      <c r="C22" s="320"/>
      <c r="D22" s="320"/>
      <c r="E22" s="320"/>
      <c r="F22" s="320"/>
      <c r="G22" s="320"/>
      <c r="H22" s="320"/>
      <c r="I22" s="320"/>
      <c r="J22" s="320"/>
      <c r="K22" s="234"/>
    </row>
    <row r="23" spans="2:11" ht="15.75">
      <c r="B23" s="233"/>
      <c r="C23" s="319"/>
      <c r="D23" s="319"/>
      <c r="E23" s="319"/>
      <c r="F23" s="319"/>
      <c r="G23" s="319"/>
      <c r="H23" s="319"/>
      <c r="I23" s="319"/>
      <c r="J23" s="319"/>
      <c r="K23" s="234"/>
    </row>
    <row r="24" spans="2:11">
      <c r="B24" s="233"/>
      <c r="K24" s="234"/>
    </row>
    <row r="25" spans="2:11">
      <c r="B25" s="233"/>
      <c r="C25" s="239"/>
      <c r="D25" s="239"/>
      <c r="E25" s="239"/>
      <c r="F25" s="239"/>
      <c r="G25" s="239"/>
      <c r="H25" s="239"/>
      <c r="I25" s="239"/>
      <c r="J25" s="239"/>
      <c r="K25" s="240"/>
    </row>
    <row r="26" spans="2:11" ht="18">
      <c r="B26" s="231"/>
      <c r="C26" s="316" t="s">
        <v>199</v>
      </c>
      <c r="D26" s="316"/>
      <c r="E26" s="316"/>
      <c r="F26" s="316"/>
      <c r="G26" s="316"/>
      <c r="H26" s="316"/>
      <c r="I26" s="316"/>
      <c r="J26" s="316"/>
      <c r="K26" s="232"/>
    </row>
    <row r="27" spans="2:11" ht="18">
      <c r="B27" s="231"/>
      <c r="C27" s="316" t="str">
        <f>'In Data'!C11</f>
        <v>050102/CV.AFWAN/02/2026</v>
      </c>
      <c r="D27" s="316"/>
      <c r="E27" s="316"/>
      <c r="F27" s="316"/>
      <c r="G27" s="316"/>
      <c r="H27" s="316"/>
      <c r="I27" s="316"/>
      <c r="J27" s="316"/>
      <c r="K27" s="232"/>
    </row>
    <row r="28" spans="2:11" ht="18">
      <c r="B28" s="231"/>
      <c r="C28" s="316" t="str">
        <f>"Tangga "&amp;'In Data'!E11&amp;""</f>
        <v>Tangga 05 Februari 2026</v>
      </c>
      <c r="D28" s="316"/>
      <c r="E28" s="316"/>
      <c r="F28" s="316"/>
      <c r="G28" s="316"/>
      <c r="H28" s="316"/>
      <c r="I28" s="316"/>
      <c r="J28" s="316"/>
      <c r="K28" s="232"/>
    </row>
    <row r="29" spans="2:11" ht="15.75">
      <c r="B29" s="231"/>
      <c r="C29" s="53"/>
      <c r="D29" s="53"/>
      <c r="E29" s="53"/>
      <c r="F29" s="53"/>
      <c r="G29" s="53"/>
      <c r="H29" s="53"/>
      <c r="I29" s="53"/>
      <c r="J29" s="53"/>
      <c r="K29" s="232"/>
    </row>
    <row r="30" spans="2:11" ht="15.75">
      <c r="B30" s="231"/>
      <c r="C30" s="53"/>
      <c r="D30" s="53"/>
      <c r="E30" s="53"/>
      <c r="F30" s="53"/>
      <c r="G30" s="53"/>
      <c r="H30" s="53"/>
      <c r="I30" s="53"/>
      <c r="J30" s="53"/>
      <c r="K30" s="232"/>
    </row>
    <row r="31" spans="2:11" ht="15.75">
      <c r="B31" s="231"/>
      <c r="C31" s="53"/>
      <c r="D31" s="53"/>
      <c r="E31" s="53"/>
      <c r="F31" s="53"/>
      <c r="G31" s="53"/>
      <c r="H31" s="53"/>
      <c r="I31" s="53"/>
      <c r="J31" s="53"/>
      <c r="K31" s="232"/>
    </row>
    <row r="32" spans="2:11" ht="15.75">
      <c r="B32" s="231"/>
      <c r="C32" s="53"/>
      <c r="D32" s="53"/>
      <c r="E32" s="53"/>
      <c r="F32" s="53"/>
      <c r="G32" s="53"/>
      <c r="H32" s="53"/>
      <c r="I32" s="53"/>
      <c r="J32" s="53"/>
      <c r="K32" s="232"/>
    </row>
    <row r="33" spans="2:11" ht="15.75">
      <c r="B33" s="231"/>
      <c r="C33" s="53"/>
      <c r="D33" s="53"/>
      <c r="E33" s="53"/>
      <c r="F33" s="53"/>
      <c r="G33" s="53"/>
      <c r="H33" s="53"/>
      <c r="I33" s="53"/>
      <c r="J33" s="53"/>
      <c r="K33" s="232"/>
    </row>
    <row r="34" spans="2:11" ht="15.75">
      <c r="B34" s="231"/>
      <c r="C34" s="53"/>
      <c r="D34" s="53"/>
      <c r="E34" s="53"/>
      <c r="F34" s="53"/>
      <c r="G34" s="53"/>
      <c r="H34" s="53"/>
      <c r="I34" s="53"/>
      <c r="J34" s="53"/>
      <c r="K34" s="232"/>
    </row>
    <row r="35" spans="2:11" ht="15.75">
      <c r="B35" s="231"/>
      <c r="C35" s="53"/>
      <c r="D35" s="53"/>
      <c r="E35" s="130"/>
      <c r="F35" s="241"/>
      <c r="G35" s="241"/>
      <c r="H35" s="241"/>
      <c r="I35" s="241"/>
      <c r="J35" s="241"/>
      <c r="K35" s="242"/>
    </row>
    <row r="36" spans="2:11" ht="18">
      <c r="B36" s="231"/>
      <c r="C36" s="316" t="s">
        <v>200</v>
      </c>
      <c r="D36" s="316"/>
      <c r="E36" s="316"/>
      <c r="F36" s="316"/>
      <c r="G36" s="316"/>
      <c r="H36" s="316"/>
      <c r="I36" s="316"/>
      <c r="J36" s="316"/>
      <c r="K36" s="236"/>
    </row>
    <row r="37" spans="2:11" ht="18">
      <c r="B37" s="231"/>
      <c r="C37" s="316" t="s">
        <v>201</v>
      </c>
      <c r="D37" s="316"/>
      <c r="E37" s="316"/>
      <c r="F37" s="316"/>
      <c r="G37" s="316"/>
      <c r="H37" s="316"/>
      <c r="I37" s="316"/>
      <c r="J37" s="316"/>
      <c r="K37" s="236"/>
    </row>
    <row r="38" spans="2:11" ht="18">
      <c r="B38" s="231"/>
      <c r="C38" s="316" t="str">
        <f>'In Data'!C38</f>
        <v>Belanja Alat Tulis Kantor</v>
      </c>
      <c r="D38" s="316"/>
      <c r="E38" s="316"/>
      <c r="F38" s="316"/>
      <c r="G38" s="316"/>
      <c r="H38" s="316"/>
      <c r="I38" s="316"/>
      <c r="J38" s="316"/>
      <c r="K38" s="236"/>
    </row>
    <row r="39" spans="2:11" ht="18">
      <c r="B39" s="231"/>
      <c r="C39" s="316" t="str">
        <f>"DILINGKUNGAN "&amp;'In Data'!C18&amp;""</f>
        <v xml:space="preserve">DILINGKUNGAN SMA NEGERI 1 PAGELARAN </v>
      </c>
      <c r="D39" s="316"/>
      <c r="E39" s="316"/>
      <c r="F39" s="316"/>
      <c r="G39" s="316"/>
      <c r="H39" s="316"/>
      <c r="I39" s="316"/>
      <c r="J39" s="316"/>
      <c r="K39" s="236"/>
    </row>
    <row r="40" spans="2:11" ht="15.75">
      <c r="B40" s="231"/>
      <c r="C40" s="53"/>
      <c r="D40" s="53"/>
      <c r="E40" s="130"/>
      <c r="F40" s="241"/>
      <c r="G40" s="130"/>
      <c r="H40" s="53"/>
      <c r="I40" s="53"/>
      <c r="J40" s="53"/>
      <c r="K40" s="232"/>
    </row>
    <row r="41" spans="2:11" ht="15.75">
      <c r="B41" s="231"/>
      <c r="C41" s="53"/>
      <c r="D41" s="53"/>
      <c r="E41" s="130"/>
      <c r="F41" s="241"/>
      <c r="G41" s="130"/>
      <c r="H41" s="53"/>
      <c r="I41" s="53"/>
      <c r="J41" s="53"/>
      <c r="K41" s="232"/>
    </row>
    <row r="42" spans="2:11" ht="15.75">
      <c r="B42" s="231"/>
      <c r="C42" s="53"/>
      <c r="D42" s="53"/>
      <c r="E42" s="130"/>
      <c r="F42" s="241"/>
      <c r="G42" s="130"/>
      <c r="H42" s="53"/>
      <c r="I42" s="53"/>
      <c r="J42" s="53"/>
      <c r="K42" s="232"/>
    </row>
    <row r="43" spans="2:11" ht="15.75">
      <c r="B43" s="231"/>
      <c r="C43" s="53"/>
      <c r="D43" s="53"/>
      <c r="E43" s="53"/>
      <c r="F43" s="53"/>
      <c r="G43" s="53"/>
      <c r="H43" s="53"/>
      <c r="I43" s="53"/>
      <c r="J43" s="53"/>
      <c r="K43" s="232"/>
    </row>
    <row r="44" spans="2:11" ht="15.75">
      <c r="B44" s="231"/>
      <c r="C44" s="53"/>
      <c r="D44" s="53"/>
      <c r="E44" s="53"/>
      <c r="F44" s="53"/>
      <c r="G44" s="243"/>
      <c r="H44" s="53"/>
      <c r="I44" s="53"/>
      <c r="J44" s="53"/>
      <c r="K44" s="232"/>
    </row>
    <row r="45" spans="2:11" ht="15.75">
      <c r="B45" s="231"/>
      <c r="C45" s="244"/>
      <c r="D45" s="244"/>
      <c r="E45" s="321"/>
      <c r="F45" s="321"/>
      <c r="G45" s="321"/>
      <c r="H45" s="321"/>
      <c r="I45" s="321"/>
      <c r="J45" s="321"/>
      <c r="K45" s="322"/>
    </row>
    <row r="46" spans="2:11" ht="15.75">
      <c r="B46" s="231"/>
      <c r="C46" s="153" t="s">
        <v>202</v>
      </c>
      <c r="D46" s="153" t="s">
        <v>102</v>
      </c>
      <c r="E46" s="324" t="str">
        <f>'In Data'!C43</f>
        <v>Rp. 15.000.000</v>
      </c>
      <c r="F46" s="324"/>
      <c r="G46" s="53"/>
      <c r="H46" s="310"/>
      <c r="I46" s="310"/>
      <c r="J46" s="53"/>
      <c r="K46" s="232"/>
    </row>
    <row r="47" spans="2:11" ht="15.75">
      <c r="B47" s="231"/>
      <c r="C47" s="246" t="s">
        <v>203</v>
      </c>
      <c r="D47" s="246" t="s">
        <v>102</v>
      </c>
      <c r="E47" s="325" t="e">
        <f ca="1">'In Data'!C44</f>
        <v>#NAME?</v>
      </c>
      <c r="F47" s="325"/>
      <c r="G47" s="325"/>
      <c r="H47" s="325"/>
      <c r="I47" s="325"/>
      <c r="J47" s="325"/>
      <c r="K47" s="326"/>
    </row>
    <row r="48" spans="2:11" ht="15.75">
      <c r="B48" s="231"/>
      <c r="C48" s="153" t="s">
        <v>204</v>
      </c>
      <c r="D48" s="153" t="s">
        <v>102</v>
      </c>
      <c r="E48" s="153" t="str">
        <f>'In Data'!C68</f>
        <v xml:space="preserve">CV. AFWAN </v>
      </c>
      <c r="F48" s="53"/>
      <c r="G48" s="53"/>
      <c r="I48" s="310"/>
      <c r="J48" s="53"/>
      <c r="K48" s="232"/>
    </row>
    <row r="49" spans="2:11" ht="39" customHeight="1">
      <c r="B49" s="231"/>
      <c r="C49" s="246" t="s">
        <v>46</v>
      </c>
      <c r="D49" s="246" t="s">
        <v>102</v>
      </c>
      <c r="E49" s="323" t="str">
        <f>'In Data'!C69</f>
        <v>Kp. Cangklek No. 61 RT.004 / RW.001 Sukamanah, Cugenang, Cianjur Jawa barat</v>
      </c>
      <c r="F49" s="323"/>
      <c r="G49" s="323"/>
      <c r="H49" s="323"/>
      <c r="I49" s="323"/>
      <c r="J49" s="323"/>
      <c r="K49" s="232"/>
    </row>
    <row r="50" spans="2:11" ht="15.75">
      <c r="B50" s="231"/>
      <c r="C50" s="53"/>
      <c r="D50" s="53"/>
      <c r="E50" s="241"/>
      <c r="F50" s="53"/>
      <c r="G50" s="130"/>
      <c r="H50" s="245"/>
      <c r="I50" s="245"/>
      <c r="J50" s="53"/>
      <c r="K50" s="232"/>
    </row>
    <row r="51" spans="2:11" ht="15.75">
      <c r="B51" s="231"/>
      <c r="C51" s="53"/>
      <c r="D51" s="53"/>
      <c r="E51" s="53"/>
      <c r="F51" s="53"/>
      <c r="G51" s="53"/>
      <c r="H51" s="53"/>
      <c r="I51" s="53"/>
      <c r="J51" s="53"/>
      <c r="K51" s="232"/>
    </row>
    <row r="52" spans="2:11" ht="20.25">
      <c r="B52" s="231"/>
      <c r="C52" s="317" t="s">
        <v>205</v>
      </c>
      <c r="D52" s="317"/>
      <c r="E52" s="317"/>
      <c r="F52" s="317"/>
      <c r="G52" s="317"/>
      <c r="H52" s="317"/>
      <c r="I52" s="317"/>
      <c r="J52" s="317"/>
      <c r="K52" s="247"/>
    </row>
    <row r="53" spans="2:11" ht="20.25">
      <c r="B53" s="231"/>
      <c r="C53" s="317" t="str">
        <f>"TAHUN ANGGARAN "&amp;'In Data'!C49&amp;" "</f>
        <v xml:space="preserve">TAHUN ANGGARAN 2026 </v>
      </c>
      <c r="D53" s="317"/>
      <c r="E53" s="317"/>
      <c r="F53" s="317"/>
      <c r="G53" s="317"/>
      <c r="H53" s="317"/>
      <c r="I53" s="317"/>
      <c r="J53" s="317"/>
      <c r="K53" s="247"/>
    </row>
    <row r="54" spans="2:11" ht="20.25">
      <c r="B54" s="231"/>
      <c r="C54" s="248"/>
      <c r="D54" s="248"/>
      <c r="E54" s="53"/>
      <c r="F54" s="317"/>
      <c r="G54" s="317"/>
      <c r="H54" s="317"/>
      <c r="I54" s="248"/>
      <c r="J54" s="248"/>
      <c r="K54" s="247"/>
    </row>
    <row r="55" spans="2:11" ht="16.5" thickBot="1">
      <c r="B55" s="249"/>
      <c r="C55" s="250"/>
      <c r="D55" s="250"/>
      <c r="E55" s="250"/>
      <c r="F55" s="250"/>
      <c r="G55" s="250"/>
      <c r="H55" s="250"/>
      <c r="I55" s="250"/>
      <c r="J55" s="250"/>
      <c r="K55" s="251"/>
    </row>
    <row r="56" spans="2:11" ht="15.75" thickTop="1"/>
  </sheetData>
  <mergeCells count="20">
    <mergeCell ref="F54:H54"/>
    <mergeCell ref="C39:J39"/>
    <mergeCell ref="E45:K45"/>
    <mergeCell ref="E49:J49"/>
    <mergeCell ref="C52:J52"/>
    <mergeCell ref="C53:J53"/>
    <mergeCell ref="E46:F46"/>
    <mergeCell ref="E47:K47"/>
    <mergeCell ref="C38:J38"/>
    <mergeCell ref="C17:J17"/>
    <mergeCell ref="C18:J18"/>
    <mergeCell ref="C19:J19"/>
    <mergeCell ref="C20:J20"/>
    <mergeCell ref="C21:J22"/>
    <mergeCell ref="C23:J23"/>
    <mergeCell ref="C26:J26"/>
    <mergeCell ref="C27:J27"/>
    <mergeCell ref="C28:J28"/>
    <mergeCell ref="C36:J36"/>
    <mergeCell ref="C37:J37"/>
  </mergeCells>
  <pageMargins left="1.1023622047244095" right="0.70866141732283472" top="0.74803149606299213" bottom="0.74803149606299213" header="0.31496062992125984" footer="0.31496062992125984"/>
  <pageSetup paperSize="14" scale="71"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8C832-8440-4D03-B716-94E320AD7F0F}">
  <dimension ref="B2:O86"/>
  <sheetViews>
    <sheetView showGridLines="0" topLeftCell="A19" workbookViewId="0">
      <selection activeCell="V21" sqref="V20:V21"/>
    </sheetView>
  </sheetViews>
  <sheetFormatPr defaultRowHeight="15"/>
  <cols>
    <col min="2" max="2" width="3.28515625" customWidth="1"/>
    <col min="3" max="3" width="4.7109375" customWidth="1"/>
    <col min="4" max="4" width="4.5703125" customWidth="1"/>
    <col min="5" max="5" width="4" customWidth="1"/>
    <col min="6" max="6" width="2.85546875" customWidth="1"/>
    <col min="7" max="7" width="10.140625" customWidth="1"/>
    <col min="8" max="8" width="2.42578125" customWidth="1"/>
    <col min="9" max="9" width="10.140625" customWidth="1"/>
    <col min="10" max="10" width="10.7109375" customWidth="1"/>
    <col min="11" max="11" width="16.42578125" customWidth="1"/>
    <col min="12" max="12" width="12.85546875" customWidth="1"/>
    <col min="14" max="14" width="9.42578125" customWidth="1"/>
  </cols>
  <sheetData>
    <row r="2" spans="2:15" ht="18">
      <c r="B2" s="380" t="s">
        <v>206</v>
      </c>
      <c r="C2" s="380"/>
      <c r="D2" s="380"/>
      <c r="E2" s="380"/>
      <c r="F2" s="380"/>
      <c r="G2" s="380"/>
      <c r="H2" s="380"/>
      <c r="I2" s="380"/>
      <c r="J2" s="380"/>
      <c r="K2" s="380"/>
      <c r="L2" s="380"/>
      <c r="M2" s="380"/>
      <c r="N2" s="380"/>
      <c r="O2" s="380"/>
    </row>
    <row r="3" spans="2:15">
      <c r="B3" s="252"/>
      <c r="C3" s="252"/>
      <c r="D3" s="252"/>
      <c r="E3" s="252"/>
      <c r="F3" s="252"/>
      <c r="G3" s="252"/>
      <c r="H3" s="252"/>
      <c r="I3" s="252"/>
      <c r="J3" s="252"/>
      <c r="K3" s="252"/>
      <c r="L3" s="252"/>
      <c r="M3" s="252"/>
      <c r="N3" s="252"/>
      <c r="O3" s="252"/>
    </row>
    <row r="4" spans="2:15">
      <c r="B4" s="252" t="s">
        <v>207</v>
      </c>
      <c r="C4" s="252"/>
      <c r="D4" s="252"/>
      <c r="E4" s="252"/>
      <c r="F4" s="252"/>
      <c r="G4" s="252"/>
      <c r="H4" s="252"/>
      <c r="I4" s="252"/>
      <c r="J4" s="252"/>
      <c r="K4" s="252"/>
      <c r="L4" s="252"/>
      <c r="M4" s="252"/>
      <c r="N4" s="252"/>
      <c r="O4" s="252"/>
    </row>
    <row r="5" spans="2:15">
      <c r="B5" s="379" t="s">
        <v>130</v>
      </c>
      <c r="C5" s="379"/>
      <c r="D5" s="379"/>
      <c r="E5" s="379"/>
      <c r="F5" s="253" t="s">
        <v>102</v>
      </c>
      <c r="G5" s="379" t="str">
        <f>'In Data'!C54</f>
        <v>Mega Afriyanti, S.Pd</v>
      </c>
      <c r="H5" s="379"/>
      <c r="I5" s="379"/>
      <c r="J5" s="379"/>
      <c r="K5" s="379"/>
      <c r="L5" s="379"/>
      <c r="M5" s="252"/>
      <c r="N5" s="252"/>
      <c r="O5" s="252"/>
    </row>
    <row r="6" spans="2:15">
      <c r="B6" s="379" t="s">
        <v>208</v>
      </c>
      <c r="C6" s="379"/>
      <c r="D6" s="379"/>
      <c r="E6" s="379"/>
      <c r="F6" s="253" t="s">
        <v>102</v>
      </c>
      <c r="G6" s="381" t="str">
        <f>'In Data'!C55</f>
        <v>3203114504870009</v>
      </c>
      <c r="H6" s="381"/>
      <c r="I6" s="381"/>
      <c r="J6" s="381"/>
      <c r="K6" s="381"/>
      <c r="L6" s="381"/>
      <c r="M6" s="252"/>
      <c r="N6" s="252"/>
      <c r="O6" s="252"/>
    </row>
    <row r="7" spans="2:15">
      <c r="B7" s="379" t="s">
        <v>131</v>
      </c>
      <c r="C7" s="379"/>
      <c r="D7" s="379"/>
      <c r="E7" s="379"/>
      <c r="F7" s="253" t="s">
        <v>102</v>
      </c>
      <c r="G7" s="379" t="str">
        <f>'In Data'!C58</f>
        <v>Direktur</v>
      </c>
      <c r="H7" s="379"/>
      <c r="I7" s="379"/>
      <c r="J7" s="379"/>
      <c r="K7" s="379"/>
      <c r="L7" s="379"/>
      <c r="M7" s="252"/>
      <c r="N7" s="252"/>
      <c r="O7" s="252"/>
    </row>
    <row r="8" spans="2:15">
      <c r="B8" s="383" t="s">
        <v>209</v>
      </c>
      <c r="C8" s="383"/>
      <c r="D8" s="383"/>
      <c r="E8" s="383"/>
      <c r="F8" s="254" t="s">
        <v>102</v>
      </c>
      <c r="G8" s="255" t="str">
        <f>'In Data'!C68</f>
        <v xml:space="preserve">CV. AFWAN </v>
      </c>
      <c r="H8" s="252"/>
      <c r="I8" s="252"/>
      <c r="J8" s="252"/>
      <c r="K8" s="252"/>
      <c r="L8" s="252"/>
      <c r="M8" s="252"/>
      <c r="N8" s="252"/>
      <c r="O8" s="252"/>
    </row>
    <row r="9" spans="2:15">
      <c r="B9" s="384" t="s">
        <v>132</v>
      </c>
      <c r="C9" s="384"/>
      <c r="D9" s="384"/>
      <c r="E9" s="384"/>
      <c r="F9" s="254" t="s">
        <v>102</v>
      </c>
      <c r="G9" s="385" t="str">
        <f>'In Data'!C69</f>
        <v>Kp. Cangklek No. 61 RT.004 / RW.001 Sukamanah, Cugenang, Cianjur Jawa barat</v>
      </c>
      <c r="H9" s="385"/>
      <c r="I9" s="385"/>
      <c r="J9" s="385"/>
      <c r="K9" s="385"/>
      <c r="L9" s="385"/>
      <c r="M9" s="252"/>
      <c r="N9" s="252"/>
      <c r="O9" s="252"/>
    </row>
    <row r="10" spans="2:15">
      <c r="B10" s="379" t="s">
        <v>210</v>
      </c>
      <c r="C10" s="379"/>
      <c r="D10" s="379"/>
      <c r="E10" s="379"/>
      <c r="F10" s="253" t="s">
        <v>102</v>
      </c>
      <c r="G10" s="386" t="str">
        <f>'In Data'!C60</f>
        <v>085691768167</v>
      </c>
      <c r="H10" s="386"/>
      <c r="I10" s="386"/>
      <c r="J10" s="386"/>
      <c r="K10" s="386"/>
      <c r="L10" s="386"/>
      <c r="M10" s="252"/>
      <c r="N10" s="252"/>
      <c r="O10" s="252"/>
    </row>
    <row r="11" spans="2:15">
      <c r="B11" s="379" t="s">
        <v>211</v>
      </c>
      <c r="C11" s="379"/>
      <c r="D11" s="379"/>
      <c r="E11" s="379"/>
      <c r="F11" s="253" t="s">
        <v>102</v>
      </c>
      <c r="G11" s="386" t="str">
        <f>'In Data'!C71</f>
        <v>cv.afwan@gmail.com</v>
      </c>
      <c r="H11" s="386"/>
      <c r="I11" s="386"/>
      <c r="J11" s="386"/>
      <c r="K11" s="386"/>
      <c r="L11" s="386"/>
      <c r="M11" s="252"/>
      <c r="N11" s="252"/>
      <c r="O11" s="252"/>
    </row>
    <row r="12" spans="2:15">
      <c r="B12" s="252"/>
      <c r="C12" s="252"/>
      <c r="D12" s="252"/>
      <c r="E12" s="252"/>
      <c r="F12" s="252"/>
      <c r="G12" s="252"/>
      <c r="H12" s="252"/>
      <c r="I12" s="252"/>
      <c r="J12" s="252"/>
      <c r="K12" s="252"/>
      <c r="L12" s="252"/>
      <c r="M12" s="252"/>
      <c r="N12" s="252"/>
      <c r="O12" s="252"/>
    </row>
    <row r="13" spans="2:15">
      <c r="B13" s="384" t="s">
        <v>212</v>
      </c>
      <c r="C13" s="384"/>
      <c r="D13" s="384"/>
      <c r="E13" s="384"/>
      <c r="F13" s="384"/>
      <c r="G13" s="384"/>
      <c r="H13" s="384"/>
      <c r="I13" s="384"/>
      <c r="J13" s="384"/>
      <c r="K13" s="384"/>
      <c r="L13" s="384"/>
      <c r="M13" s="252"/>
      <c r="N13" s="252"/>
      <c r="O13" s="252"/>
    </row>
    <row r="14" spans="2:15">
      <c r="B14" s="256" t="s">
        <v>129</v>
      </c>
      <c r="C14" s="382" t="str">
        <f>"Saya secara hukum bertindak untuk dan atas nama "&amp;" berdasarkan Akte Pendirian Nomor "&amp;" dengan Notaris "&amp;" tanggal "&amp;""</f>
        <v xml:space="preserve">Saya secara hukum bertindak untuk dan atas nama  berdasarkan Akte Pendirian Nomor  dengan Notaris  tanggal </v>
      </c>
      <c r="D14" s="382"/>
      <c r="E14" s="382"/>
      <c r="F14" s="382"/>
      <c r="G14" s="382"/>
      <c r="H14" s="382"/>
      <c r="I14" s="382"/>
      <c r="J14" s="382"/>
      <c r="K14" s="382"/>
      <c r="L14" s="382"/>
      <c r="M14" s="382"/>
      <c r="N14" s="382"/>
      <c r="O14" s="382"/>
    </row>
    <row r="15" spans="2:15">
      <c r="B15" s="256" t="s">
        <v>134</v>
      </c>
      <c r="C15" s="382" t="s">
        <v>213</v>
      </c>
      <c r="D15" s="382"/>
      <c r="E15" s="382"/>
      <c r="F15" s="382"/>
      <c r="G15" s="382"/>
      <c r="H15" s="382"/>
      <c r="I15" s="382"/>
      <c r="J15" s="382"/>
      <c r="K15" s="382"/>
      <c r="L15" s="382"/>
      <c r="M15" s="382"/>
      <c r="N15" s="382"/>
      <c r="O15" s="382"/>
    </row>
    <row r="16" spans="2:15">
      <c r="B16" s="256" t="s">
        <v>214</v>
      </c>
      <c r="C16" s="382" t="s">
        <v>215</v>
      </c>
      <c r="D16" s="382"/>
      <c r="E16" s="382"/>
      <c r="F16" s="382"/>
      <c r="G16" s="382"/>
      <c r="H16" s="382"/>
      <c r="I16" s="382"/>
      <c r="J16" s="382"/>
      <c r="K16" s="382"/>
      <c r="L16" s="382"/>
      <c r="M16" s="382"/>
      <c r="N16" s="382"/>
      <c r="O16" s="382"/>
    </row>
    <row r="17" spans="2:15">
      <c r="B17" s="256" t="s">
        <v>216</v>
      </c>
      <c r="C17" s="382" t="s">
        <v>217</v>
      </c>
      <c r="D17" s="382"/>
      <c r="E17" s="382"/>
      <c r="F17" s="382"/>
      <c r="G17" s="382"/>
      <c r="H17" s="382"/>
      <c r="I17" s="382"/>
      <c r="J17" s="382"/>
      <c r="K17" s="382"/>
      <c r="L17" s="382"/>
      <c r="M17" s="382"/>
      <c r="N17" s="382"/>
      <c r="O17" s="382"/>
    </row>
    <row r="18" spans="2:15">
      <c r="B18" s="256" t="s">
        <v>218</v>
      </c>
      <c r="C18" s="382" t="s">
        <v>219</v>
      </c>
      <c r="D18" s="382"/>
      <c r="E18" s="382"/>
      <c r="F18" s="382"/>
      <c r="G18" s="382"/>
      <c r="H18" s="382"/>
      <c r="I18" s="382"/>
      <c r="J18" s="382"/>
      <c r="K18" s="382"/>
      <c r="L18" s="382"/>
      <c r="M18" s="382"/>
      <c r="N18" s="382"/>
      <c r="O18" s="382"/>
    </row>
    <row r="19" spans="2:15">
      <c r="B19" s="256" t="s">
        <v>220</v>
      </c>
      <c r="C19" s="382" t="s">
        <v>221</v>
      </c>
      <c r="D19" s="382"/>
      <c r="E19" s="382"/>
      <c r="F19" s="382"/>
      <c r="G19" s="382"/>
      <c r="H19" s="382"/>
      <c r="I19" s="382"/>
      <c r="J19" s="382"/>
      <c r="K19" s="382"/>
      <c r="L19" s="382"/>
      <c r="M19" s="382"/>
      <c r="N19" s="382"/>
      <c r="O19" s="382"/>
    </row>
    <row r="20" spans="2:15">
      <c r="B20" s="256" t="s">
        <v>222</v>
      </c>
      <c r="C20" s="382" t="s">
        <v>223</v>
      </c>
      <c r="D20" s="382"/>
      <c r="E20" s="382"/>
      <c r="F20" s="382"/>
      <c r="G20" s="382"/>
      <c r="H20" s="382"/>
      <c r="I20" s="382"/>
      <c r="J20" s="382"/>
      <c r="K20" s="382"/>
      <c r="L20" s="382"/>
      <c r="M20" s="382"/>
      <c r="N20" s="382"/>
      <c r="O20" s="382"/>
    </row>
    <row r="21" spans="2:15">
      <c r="B21" s="252"/>
      <c r="C21" s="252"/>
      <c r="D21" s="252"/>
      <c r="E21" s="252"/>
      <c r="F21" s="252"/>
      <c r="G21" s="252"/>
      <c r="H21" s="252"/>
      <c r="I21" s="252"/>
      <c r="J21" s="252"/>
      <c r="K21" s="252"/>
      <c r="L21" s="252"/>
      <c r="M21" s="252"/>
      <c r="N21" s="252"/>
      <c r="O21" s="252"/>
    </row>
    <row r="22" spans="2:15">
      <c r="B22" s="257" t="s">
        <v>16</v>
      </c>
      <c r="C22" s="387" t="s">
        <v>224</v>
      </c>
      <c r="D22" s="387"/>
      <c r="E22" s="387"/>
      <c r="F22" s="387"/>
      <c r="G22" s="387"/>
      <c r="H22" s="387"/>
      <c r="I22" s="387"/>
      <c r="J22" s="387"/>
      <c r="K22" s="387"/>
      <c r="L22" s="387"/>
      <c r="M22" s="252"/>
      <c r="N22" s="252"/>
      <c r="O22" s="252"/>
    </row>
    <row r="23" spans="2:15">
      <c r="B23" s="252"/>
      <c r="C23" s="258" t="s">
        <v>129</v>
      </c>
      <c r="D23" s="388" t="s">
        <v>225</v>
      </c>
      <c r="E23" s="388"/>
      <c r="F23" s="388"/>
      <c r="G23" s="388"/>
      <c r="H23" s="388"/>
      <c r="I23" s="388"/>
      <c r="J23" s="259" t="s">
        <v>102</v>
      </c>
      <c r="K23" s="260" t="str">
        <f>'In Data'!C68</f>
        <v xml:space="preserve">CV. AFWAN </v>
      </c>
      <c r="L23" s="260"/>
      <c r="M23" s="260"/>
      <c r="N23" s="261"/>
      <c r="O23" s="252"/>
    </row>
    <row r="24" spans="2:15">
      <c r="B24" s="252"/>
      <c r="C24" s="262"/>
      <c r="D24" s="263"/>
      <c r="E24" s="263"/>
      <c r="F24" s="263"/>
      <c r="G24" s="263"/>
      <c r="H24" s="263"/>
      <c r="I24" s="263"/>
      <c r="J24" s="264"/>
      <c r="K24" s="265"/>
      <c r="L24" s="265"/>
      <c r="M24" s="265"/>
      <c r="N24" s="266"/>
      <c r="O24" s="252"/>
    </row>
    <row r="25" spans="2:15">
      <c r="B25" s="252"/>
      <c r="C25" s="267" t="s">
        <v>134</v>
      </c>
      <c r="D25" s="379" t="s">
        <v>226</v>
      </c>
      <c r="E25" s="379"/>
      <c r="F25" s="379"/>
      <c r="G25" s="379"/>
      <c r="H25" s="379"/>
      <c r="I25" s="379"/>
      <c r="J25" s="253" t="s">
        <v>102</v>
      </c>
      <c r="K25" s="268" t="s">
        <v>227</v>
      </c>
      <c r="L25" s="252" t="s">
        <v>228</v>
      </c>
      <c r="M25" s="269"/>
      <c r="N25" s="270" t="s">
        <v>229</v>
      </c>
      <c r="O25" s="252"/>
    </row>
    <row r="26" spans="2:15">
      <c r="B26" s="252"/>
      <c r="C26" s="271"/>
      <c r="D26" s="272"/>
      <c r="E26" s="272"/>
      <c r="F26" s="272"/>
      <c r="G26" s="272"/>
      <c r="H26" s="272"/>
      <c r="I26" s="272"/>
      <c r="J26" s="273"/>
      <c r="K26" s="274"/>
      <c r="L26" s="274"/>
      <c r="M26" s="274"/>
      <c r="N26" s="275"/>
      <c r="O26" s="252"/>
    </row>
    <row r="27" spans="2:15">
      <c r="B27" s="252"/>
      <c r="C27" s="276" t="s">
        <v>214</v>
      </c>
      <c r="D27" s="389" t="s">
        <v>230</v>
      </c>
      <c r="E27" s="389"/>
      <c r="F27" s="389"/>
      <c r="G27" s="389"/>
      <c r="H27" s="389"/>
      <c r="I27" s="389"/>
      <c r="J27" s="277" t="s">
        <v>102</v>
      </c>
      <c r="K27" s="390" t="str">
        <f>'In Data'!C69</f>
        <v>Kp. Cangklek No. 61 RT.004 / RW.001 Sukamanah, Cugenang, Cianjur Jawa barat</v>
      </c>
      <c r="L27" s="391"/>
      <c r="M27" s="391"/>
      <c r="N27" s="392"/>
      <c r="O27" s="252"/>
    </row>
    <row r="28" spans="2:15">
      <c r="B28" s="252"/>
      <c r="C28" s="267"/>
      <c r="D28" s="384" t="s">
        <v>231</v>
      </c>
      <c r="E28" s="384"/>
      <c r="F28" s="384"/>
      <c r="G28" s="384"/>
      <c r="H28" s="384"/>
      <c r="I28" s="384"/>
      <c r="J28" s="253" t="s">
        <v>102</v>
      </c>
      <c r="K28" s="278" t="str">
        <f>'In Data'!C60</f>
        <v>085691768167</v>
      </c>
      <c r="L28" s="252"/>
      <c r="M28" s="252"/>
      <c r="N28" s="270"/>
      <c r="O28" s="252"/>
    </row>
    <row r="29" spans="2:15">
      <c r="B29" s="252"/>
      <c r="C29" s="267"/>
      <c r="D29" s="384" t="s">
        <v>232</v>
      </c>
      <c r="E29" s="384"/>
      <c r="F29" s="384"/>
      <c r="G29" s="384"/>
      <c r="H29" s="384"/>
      <c r="I29" s="384"/>
      <c r="J29" s="253" t="s">
        <v>102</v>
      </c>
      <c r="K29" s="252" t="s">
        <v>233</v>
      </c>
      <c r="L29" s="252"/>
      <c r="M29" s="252"/>
      <c r="N29" s="270"/>
      <c r="O29" s="252"/>
    </row>
    <row r="30" spans="2:15">
      <c r="B30" s="252"/>
      <c r="C30" s="267"/>
      <c r="D30" s="384" t="s">
        <v>234</v>
      </c>
      <c r="E30" s="384"/>
      <c r="F30" s="384"/>
      <c r="G30" s="384"/>
      <c r="H30" s="384"/>
      <c r="I30" s="384"/>
      <c r="J30" s="253" t="s">
        <v>102</v>
      </c>
      <c r="K30" s="278" t="str">
        <f>'In Data'!C71</f>
        <v>cv.afwan@gmail.com</v>
      </c>
      <c r="L30" s="252"/>
      <c r="M30" s="252"/>
      <c r="N30" s="270"/>
      <c r="O30" s="252"/>
    </row>
    <row r="31" spans="2:15">
      <c r="B31" s="252"/>
      <c r="C31" s="267" t="s">
        <v>216</v>
      </c>
      <c r="D31" s="379" t="s">
        <v>235</v>
      </c>
      <c r="E31" s="379"/>
      <c r="F31" s="379"/>
      <c r="G31" s="379"/>
      <c r="H31" s="379"/>
      <c r="I31" s="379"/>
      <c r="J31" s="253" t="s">
        <v>102</v>
      </c>
      <c r="K31" s="252" t="s">
        <v>233</v>
      </c>
      <c r="L31" s="252"/>
      <c r="M31" s="252"/>
      <c r="N31" s="270"/>
      <c r="O31" s="252"/>
    </row>
    <row r="32" spans="2:15">
      <c r="B32" s="252"/>
      <c r="C32" s="267"/>
      <c r="D32" s="379" t="s">
        <v>231</v>
      </c>
      <c r="E32" s="379"/>
      <c r="F32" s="379"/>
      <c r="G32" s="379"/>
      <c r="H32" s="379"/>
      <c r="I32" s="379"/>
      <c r="J32" s="253" t="s">
        <v>102</v>
      </c>
      <c r="K32" s="252" t="s">
        <v>233</v>
      </c>
      <c r="L32" s="252"/>
      <c r="M32" s="252"/>
      <c r="N32" s="270"/>
      <c r="O32" s="252"/>
    </row>
    <row r="33" spans="2:15">
      <c r="B33" s="252"/>
      <c r="C33" s="267"/>
      <c r="D33" s="379" t="s">
        <v>232</v>
      </c>
      <c r="E33" s="379"/>
      <c r="F33" s="379"/>
      <c r="G33" s="379"/>
      <c r="H33" s="379"/>
      <c r="I33" s="379"/>
      <c r="J33" s="253" t="s">
        <v>102</v>
      </c>
      <c r="K33" s="252" t="s">
        <v>233</v>
      </c>
      <c r="L33" s="252"/>
      <c r="M33" s="252"/>
      <c r="N33" s="270"/>
      <c r="O33" s="252"/>
    </row>
    <row r="34" spans="2:15">
      <c r="B34" s="252"/>
      <c r="C34" s="271"/>
      <c r="D34" s="393" t="s">
        <v>234</v>
      </c>
      <c r="E34" s="393"/>
      <c r="F34" s="393"/>
      <c r="G34" s="393"/>
      <c r="H34" s="393"/>
      <c r="I34" s="393"/>
      <c r="J34" s="273" t="s">
        <v>102</v>
      </c>
      <c r="K34" s="274" t="s">
        <v>233</v>
      </c>
      <c r="L34" s="274"/>
      <c r="M34" s="274"/>
      <c r="N34" s="275"/>
      <c r="O34" s="252"/>
    </row>
    <row r="35" spans="2:15">
      <c r="B35" s="252"/>
      <c r="C35" s="252"/>
      <c r="D35" s="252"/>
      <c r="E35" s="252"/>
      <c r="F35" s="252"/>
      <c r="G35" s="252"/>
      <c r="H35" s="252"/>
      <c r="I35" s="252"/>
      <c r="J35" s="252"/>
      <c r="K35" s="252"/>
      <c r="L35" s="252"/>
      <c r="M35" s="252"/>
      <c r="N35" s="252"/>
      <c r="O35" s="252"/>
    </row>
    <row r="36" spans="2:15">
      <c r="B36" s="279" t="s">
        <v>36</v>
      </c>
      <c r="C36" s="394" t="s">
        <v>236</v>
      </c>
      <c r="D36" s="394"/>
      <c r="E36" s="394"/>
      <c r="F36" s="394"/>
      <c r="G36" s="394"/>
      <c r="H36" s="394"/>
      <c r="I36" s="394"/>
      <c r="J36" s="394"/>
      <c r="K36" s="394"/>
      <c r="L36" s="394"/>
      <c r="M36" s="394"/>
      <c r="N36" s="394"/>
      <c r="O36" s="394"/>
    </row>
    <row r="37" spans="2:15">
      <c r="B37" s="252"/>
      <c r="C37" s="280" t="s">
        <v>129</v>
      </c>
      <c r="D37" s="395" t="s">
        <v>237</v>
      </c>
      <c r="E37" s="395"/>
      <c r="F37" s="395"/>
      <c r="G37" s="395"/>
      <c r="H37" s="395"/>
      <c r="I37" s="395"/>
      <c r="J37" s="395"/>
      <c r="K37" s="395"/>
      <c r="L37" s="395"/>
      <c r="M37" s="395"/>
      <c r="N37" s="396"/>
      <c r="O37" s="252"/>
    </row>
    <row r="38" spans="2:15">
      <c r="B38" s="252"/>
      <c r="C38" s="281" t="s">
        <v>238</v>
      </c>
      <c r="D38" s="252" t="s">
        <v>239</v>
      </c>
      <c r="E38" s="379" t="s">
        <v>190</v>
      </c>
      <c r="F38" s="379"/>
      <c r="G38" s="379"/>
      <c r="H38" s="379"/>
      <c r="I38" s="379"/>
      <c r="J38" s="253" t="s">
        <v>102</v>
      </c>
      <c r="K38" s="282" t="str">
        <f>'In Data'!C75</f>
        <v>-</v>
      </c>
      <c r="L38" s="282"/>
      <c r="M38" s="282"/>
      <c r="N38" s="283"/>
      <c r="O38" s="252"/>
    </row>
    <row r="39" spans="2:15">
      <c r="B39" s="252"/>
      <c r="C39" s="281" t="s">
        <v>238</v>
      </c>
      <c r="D39" s="252" t="s">
        <v>240</v>
      </c>
      <c r="E39" s="379" t="s">
        <v>143</v>
      </c>
      <c r="F39" s="379"/>
      <c r="G39" s="379"/>
      <c r="H39" s="379"/>
      <c r="I39" s="379"/>
      <c r="J39" s="253" t="s">
        <v>102</v>
      </c>
      <c r="K39" s="303" t="str">
        <f>'In Data'!C76</f>
        <v>-</v>
      </c>
      <c r="L39" s="282"/>
      <c r="M39" s="282"/>
      <c r="N39" s="283"/>
      <c r="O39" s="252"/>
    </row>
    <row r="40" spans="2:15">
      <c r="B40" s="252"/>
      <c r="C40" s="281" t="s">
        <v>238</v>
      </c>
      <c r="D40" s="252" t="s">
        <v>241</v>
      </c>
      <c r="E40" s="379" t="s">
        <v>95</v>
      </c>
      <c r="F40" s="379"/>
      <c r="G40" s="379"/>
      <c r="H40" s="379"/>
      <c r="I40" s="379"/>
      <c r="J40" s="253" t="s">
        <v>102</v>
      </c>
      <c r="K40" s="282" t="str">
        <f>'In Data'!C77</f>
        <v>-</v>
      </c>
      <c r="L40" s="282"/>
      <c r="M40" s="282"/>
      <c r="N40" s="283"/>
      <c r="O40" s="252"/>
    </row>
    <row r="41" spans="2:15">
      <c r="B41" s="252"/>
      <c r="C41" s="284"/>
      <c r="D41" s="274" t="s">
        <v>242</v>
      </c>
      <c r="E41" s="393" t="s">
        <v>243</v>
      </c>
      <c r="F41" s="393"/>
      <c r="G41" s="393"/>
      <c r="H41" s="393"/>
      <c r="I41" s="393"/>
      <c r="J41" s="393"/>
      <c r="K41" s="393"/>
      <c r="L41" s="393"/>
      <c r="M41" s="393"/>
      <c r="N41" s="397"/>
      <c r="O41" s="252"/>
    </row>
    <row r="42" spans="2:15">
      <c r="B42" s="252"/>
      <c r="C42" s="280" t="s">
        <v>134</v>
      </c>
      <c r="D42" s="389" t="s">
        <v>244</v>
      </c>
      <c r="E42" s="389"/>
      <c r="F42" s="389"/>
      <c r="G42" s="389"/>
      <c r="H42" s="389"/>
      <c r="I42" s="389"/>
      <c r="J42" s="389"/>
      <c r="K42" s="389"/>
      <c r="L42" s="389"/>
      <c r="M42" s="389"/>
      <c r="N42" s="398"/>
      <c r="O42" s="252"/>
    </row>
    <row r="43" spans="2:15">
      <c r="B43" s="252"/>
      <c r="C43" s="281" t="s">
        <v>238</v>
      </c>
      <c r="D43" s="252" t="s">
        <v>245</v>
      </c>
      <c r="E43" s="379" t="s">
        <v>246</v>
      </c>
      <c r="F43" s="379"/>
      <c r="G43" s="379"/>
      <c r="H43" s="379"/>
      <c r="I43" s="379"/>
      <c r="J43" s="253" t="s">
        <v>102</v>
      </c>
      <c r="K43" s="285" t="str">
        <f>'In Data'!C75</f>
        <v>-</v>
      </c>
      <c r="L43" s="252"/>
      <c r="M43" s="252"/>
      <c r="N43" s="270"/>
      <c r="O43" s="252"/>
    </row>
    <row r="44" spans="2:15">
      <c r="B44" s="252"/>
      <c r="C44" s="281" t="s">
        <v>238</v>
      </c>
      <c r="D44" s="252" t="s">
        <v>240</v>
      </c>
      <c r="E44" s="379" t="s">
        <v>143</v>
      </c>
      <c r="F44" s="379"/>
      <c r="G44" s="379"/>
      <c r="H44" s="379"/>
      <c r="I44" s="379"/>
      <c r="J44" s="253" t="s">
        <v>102</v>
      </c>
      <c r="K44" s="399" t="str">
        <f>'In Data'!C76</f>
        <v>-</v>
      </c>
      <c r="L44" s="399"/>
      <c r="M44" s="252"/>
      <c r="N44" s="270"/>
      <c r="O44" s="252"/>
    </row>
    <row r="45" spans="2:15">
      <c r="B45" s="252"/>
      <c r="C45" s="284" t="s">
        <v>238</v>
      </c>
      <c r="D45" s="274" t="s">
        <v>241</v>
      </c>
      <c r="E45" s="393" t="s">
        <v>95</v>
      </c>
      <c r="F45" s="393"/>
      <c r="G45" s="393"/>
      <c r="H45" s="393"/>
      <c r="I45" s="393"/>
      <c r="J45" s="273" t="s">
        <v>102</v>
      </c>
      <c r="K45" s="286" t="str">
        <f>'In Data'!C77</f>
        <v>-</v>
      </c>
      <c r="L45" s="274"/>
      <c r="M45" s="274"/>
      <c r="N45" s="275"/>
      <c r="O45" s="252"/>
    </row>
    <row r="46" spans="2:15">
      <c r="B46" s="252"/>
      <c r="C46" s="252"/>
      <c r="D46" s="252"/>
      <c r="E46" s="252"/>
      <c r="F46" s="252"/>
      <c r="G46" s="252"/>
      <c r="H46" s="252"/>
      <c r="I46" s="252"/>
      <c r="J46" s="252"/>
      <c r="K46" s="252"/>
      <c r="L46" s="252"/>
      <c r="M46" s="252"/>
      <c r="N46" s="252"/>
      <c r="O46" s="252"/>
    </row>
    <row r="47" spans="2:15">
      <c r="B47" s="279" t="s">
        <v>247</v>
      </c>
      <c r="C47" s="394" t="s">
        <v>248</v>
      </c>
      <c r="D47" s="394"/>
      <c r="E47" s="394"/>
      <c r="F47" s="394"/>
      <c r="G47" s="394"/>
      <c r="H47" s="394"/>
      <c r="I47" s="394"/>
      <c r="J47" s="394"/>
      <c r="K47" s="394"/>
      <c r="L47" s="394"/>
      <c r="M47" s="394"/>
      <c r="N47" s="394"/>
      <c r="O47" s="394"/>
    </row>
    <row r="48" spans="2:15">
      <c r="B48" s="252"/>
      <c r="C48" s="287" t="s">
        <v>38</v>
      </c>
      <c r="D48" s="400" t="s">
        <v>249</v>
      </c>
      <c r="E48" s="400"/>
      <c r="F48" s="400"/>
      <c r="G48" s="400"/>
      <c r="H48" s="400" t="s">
        <v>208</v>
      </c>
      <c r="I48" s="400"/>
      <c r="J48" s="400"/>
      <c r="K48" s="401" t="s">
        <v>250</v>
      </c>
      <c r="L48" s="401"/>
      <c r="M48" s="252"/>
      <c r="N48" s="252"/>
      <c r="O48" s="252"/>
    </row>
    <row r="49" spans="2:15">
      <c r="B49" s="252"/>
      <c r="C49" s="288">
        <v>1</v>
      </c>
      <c r="D49" s="402" t="str">
        <f>'In Data'!C54</f>
        <v>Mega Afriyanti, S.Pd</v>
      </c>
      <c r="E49" s="403"/>
      <c r="F49" s="403"/>
      <c r="G49" s="404"/>
      <c r="H49" s="405" t="str">
        <f>'In Data'!C55</f>
        <v>3203114504870009</v>
      </c>
      <c r="I49" s="406"/>
      <c r="J49" s="406"/>
      <c r="K49" s="406" t="str">
        <f>'In Data'!C58</f>
        <v>Direktur</v>
      </c>
      <c r="L49" s="406"/>
      <c r="M49" s="252"/>
      <c r="N49" s="252"/>
      <c r="O49" s="252"/>
    </row>
    <row r="50" spans="2:15">
      <c r="B50" s="252"/>
      <c r="C50" s="288">
        <v>2</v>
      </c>
      <c r="D50" s="407" t="str">
        <f>'In Data'!C61</f>
        <v>Dedih Jubaedih</v>
      </c>
      <c r="E50" s="403"/>
      <c r="F50" s="403"/>
      <c r="G50" s="404"/>
      <c r="H50" s="405" t="str">
        <f>'In Data'!C62</f>
        <v>3203111202790004</v>
      </c>
      <c r="I50" s="406"/>
      <c r="J50" s="406"/>
      <c r="K50" s="406" t="str">
        <f>'In Data'!C65</f>
        <v>-</v>
      </c>
      <c r="L50" s="406"/>
      <c r="M50" s="252"/>
      <c r="N50" s="252"/>
      <c r="O50" s="252"/>
    </row>
    <row r="51" spans="2:15">
      <c r="B51" s="252"/>
      <c r="C51" s="252"/>
      <c r="D51" s="252"/>
      <c r="E51" s="252"/>
      <c r="F51" s="252"/>
      <c r="G51" s="252"/>
      <c r="H51" s="252"/>
      <c r="I51" s="252"/>
      <c r="J51" s="252"/>
      <c r="K51" s="252"/>
      <c r="L51" s="252"/>
      <c r="M51" s="252"/>
      <c r="N51" s="252"/>
      <c r="O51" s="252"/>
    </row>
    <row r="52" spans="2:15">
      <c r="B52" s="252"/>
      <c r="C52" s="252"/>
      <c r="D52" s="252"/>
      <c r="E52" s="252"/>
      <c r="F52" s="252"/>
      <c r="G52" s="252"/>
      <c r="H52" s="252"/>
      <c r="I52" s="252"/>
      <c r="J52" s="252"/>
      <c r="K52" s="252"/>
      <c r="L52" s="252"/>
      <c r="M52" s="252"/>
      <c r="N52" s="252"/>
      <c r="O52" s="252"/>
    </row>
    <row r="53" spans="2:15">
      <c r="B53" s="252"/>
      <c r="C53" s="252"/>
      <c r="D53" s="252"/>
      <c r="E53" s="252"/>
      <c r="F53" s="252"/>
      <c r="G53" s="252"/>
      <c r="H53" s="252"/>
      <c r="I53" s="252"/>
      <c r="J53" s="252"/>
      <c r="K53" s="252"/>
      <c r="L53" s="252"/>
      <c r="M53" s="252"/>
      <c r="N53" s="252"/>
      <c r="O53" s="252"/>
    </row>
    <row r="54" spans="2:15">
      <c r="B54" s="252"/>
      <c r="C54" s="252"/>
      <c r="D54" s="252"/>
      <c r="E54" s="252"/>
      <c r="F54" s="252"/>
      <c r="G54" s="252"/>
      <c r="H54" s="252"/>
      <c r="I54" s="252"/>
      <c r="J54" s="252"/>
      <c r="K54" s="252"/>
      <c r="L54" s="252"/>
      <c r="M54" s="252"/>
      <c r="N54" s="252"/>
      <c r="O54" s="252"/>
    </row>
    <row r="55" spans="2:15">
      <c r="B55" s="252"/>
      <c r="C55" s="252"/>
      <c r="D55" s="252"/>
      <c r="E55" s="252"/>
      <c r="F55" s="252"/>
      <c r="G55" s="252"/>
      <c r="H55" s="252"/>
      <c r="I55" s="252"/>
      <c r="J55" s="252"/>
      <c r="K55" s="252"/>
      <c r="L55" s="252"/>
      <c r="M55" s="252"/>
      <c r="N55" s="252"/>
      <c r="O55" s="252"/>
    </row>
    <row r="56" spans="2:15">
      <c r="B56" s="252"/>
      <c r="C56" s="252"/>
      <c r="D56" s="252"/>
      <c r="E56" s="252"/>
      <c r="F56" s="252"/>
      <c r="G56" s="252"/>
      <c r="H56" s="252"/>
      <c r="I56" s="252"/>
      <c r="J56" s="252"/>
      <c r="K56" s="252"/>
      <c r="L56" s="252"/>
      <c r="M56" s="252"/>
      <c r="N56" s="252"/>
      <c r="O56" s="252"/>
    </row>
    <row r="57" spans="2:15">
      <c r="B57" s="252"/>
      <c r="C57" s="252"/>
      <c r="D57" s="252"/>
      <c r="E57" s="252"/>
      <c r="F57" s="252"/>
      <c r="G57" s="252"/>
      <c r="H57" s="252"/>
      <c r="I57" s="252"/>
      <c r="J57" s="252"/>
      <c r="K57" s="252"/>
      <c r="L57" s="252"/>
      <c r="M57" s="252"/>
      <c r="N57" s="252"/>
      <c r="O57" s="252"/>
    </row>
    <row r="58" spans="2:15">
      <c r="B58" s="252"/>
      <c r="C58" s="252"/>
      <c r="D58" s="252"/>
      <c r="E58" s="252"/>
      <c r="F58" s="252"/>
      <c r="G58" s="252"/>
      <c r="H58" s="252"/>
      <c r="I58" s="252"/>
      <c r="J58" s="252"/>
      <c r="K58" s="252"/>
      <c r="L58" s="252"/>
      <c r="M58" s="252"/>
      <c r="N58" s="252"/>
      <c r="O58" s="252"/>
    </row>
    <row r="59" spans="2:15">
      <c r="B59" s="279" t="s">
        <v>53</v>
      </c>
      <c r="C59" s="408" t="s">
        <v>251</v>
      </c>
      <c r="D59" s="408"/>
      <c r="E59" s="408"/>
      <c r="F59" s="408"/>
      <c r="G59" s="408"/>
      <c r="H59" s="408"/>
      <c r="I59" s="408"/>
      <c r="J59" s="408"/>
      <c r="K59" s="408"/>
      <c r="L59" s="408"/>
      <c r="M59" s="408"/>
      <c r="N59" s="408"/>
      <c r="O59" s="408"/>
    </row>
    <row r="60" spans="2:15">
      <c r="B60" s="252"/>
      <c r="C60" s="289">
        <v>1</v>
      </c>
      <c r="D60" s="389" t="s">
        <v>98</v>
      </c>
      <c r="E60" s="389"/>
      <c r="F60" s="389"/>
      <c r="G60" s="389"/>
      <c r="H60" s="389"/>
      <c r="I60" s="389"/>
      <c r="J60" s="389"/>
      <c r="K60" s="389"/>
      <c r="L60" s="264" t="s">
        <v>102</v>
      </c>
      <c r="M60" s="265" t="str">
        <f>'[2]INPUT DATA'!C76</f>
        <v>Nomor Induk Berusaha (NIB)</v>
      </c>
      <c r="N60" s="265"/>
      <c r="O60" s="266"/>
    </row>
    <row r="61" spans="2:15">
      <c r="B61" s="252"/>
      <c r="C61" s="290">
        <v>2</v>
      </c>
      <c r="D61" s="384" t="s">
        <v>252</v>
      </c>
      <c r="E61" s="384"/>
      <c r="F61" s="384"/>
      <c r="G61" s="384"/>
      <c r="H61" s="384"/>
      <c r="I61" s="384"/>
      <c r="J61" s="384"/>
      <c r="K61" s="384"/>
      <c r="L61" s="253"/>
      <c r="M61" s="252" t="str">
        <f>'[2]INPUT DATA'!C77</f>
        <v>9120302470725</v>
      </c>
      <c r="N61" s="252"/>
      <c r="O61" s="270"/>
    </row>
    <row r="62" spans="2:15">
      <c r="B62" s="252"/>
      <c r="C62" s="290">
        <v>3</v>
      </c>
      <c r="D62" s="384" t="s">
        <v>253</v>
      </c>
      <c r="E62" s="384"/>
      <c r="F62" s="384"/>
      <c r="G62" s="384"/>
      <c r="H62" s="384"/>
      <c r="I62" s="384"/>
      <c r="J62" s="384"/>
      <c r="K62" s="384"/>
      <c r="L62" s="253" t="s">
        <v>102</v>
      </c>
      <c r="M62" s="252" t="str">
        <f>'[2]INPUT DATA'!C78</f>
        <v>Seumur Hidup</v>
      </c>
      <c r="N62" s="252"/>
      <c r="O62" s="270"/>
    </row>
    <row r="63" spans="2:15">
      <c r="B63" s="252"/>
      <c r="C63" s="291">
        <v>4</v>
      </c>
      <c r="D63" s="409" t="s">
        <v>254</v>
      </c>
      <c r="E63" s="409"/>
      <c r="F63" s="409"/>
      <c r="G63" s="409"/>
      <c r="H63" s="409"/>
      <c r="I63" s="409"/>
      <c r="J63" s="409"/>
      <c r="K63" s="409"/>
      <c r="L63" s="292" t="s">
        <v>102</v>
      </c>
      <c r="M63" s="410" t="str">
        <f>'[2]INPUT DATA'!C79</f>
        <v>Menteri Investas/Kepala Badan Koordinasi Penanaman Modal</v>
      </c>
      <c r="N63" s="410"/>
      <c r="O63" s="411"/>
    </row>
    <row r="64" spans="2:15">
      <c r="B64" s="252"/>
      <c r="C64" s="252"/>
      <c r="D64" s="252"/>
      <c r="E64" s="252"/>
      <c r="F64" s="252"/>
      <c r="G64" s="252"/>
      <c r="H64" s="252"/>
      <c r="I64" s="252"/>
      <c r="J64" s="252"/>
      <c r="K64" s="252"/>
      <c r="L64" s="252"/>
      <c r="M64" s="252"/>
      <c r="N64" s="252"/>
      <c r="O64" s="252"/>
    </row>
    <row r="65" spans="2:15">
      <c r="B65" s="252"/>
      <c r="C65" s="252"/>
      <c r="D65" s="252"/>
      <c r="E65" s="252"/>
      <c r="F65" s="252"/>
      <c r="G65" s="252"/>
      <c r="H65" s="252"/>
      <c r="I65" s="252"/>
      <c r="J65" s="252"/>
      <c r="K65" s="252"/>
      <c r="L65" s="252"/>
      <c r="M65" s="252"/>
      <c r="N65" s="252"/>
      <c r="O65" s="252"/>
    </row>
    <row r="66" spans="2:15">
      <c r="B66" s="279" t="s">
        <v>58</v>
      </c>
      <c r="C66" s="394" t="s">
        <v>255</v>
      </c>
      <c r="D66" s="394"/>
      <c r="E66" s="394"/>
      <c r="F66" s="394"/>
      <c r="G66" s="394"/>
      <c r="H66" s="394"/>
      <c r="I66" s="394"/>
      <c r="J66" s="394"/>
      <c r="K66" s="394"/>
      <c r="L66" s="394"/>
      <c r="M66" s="394"/>
      <c r="N66" s="394"/>
      <c r="O66" s="394"/>
    </row>
    <row r="67" spans="2:15">
      <c r="B67" s="252"/>
      <c r="C67" s="279" t="s">
        <v>129</v>
      </c>
      <c r="D67" s="394" t="s">
        <v>256</v>
      </c>
      <c r="E67" s="394"/>
      <c r="F67" s="394"/>
      <c r="G67" s="394"/>
      <c r="H67" s="394"/>
      <c r="I67" s="394"/>
      <c r="J67" s="394"/>
      <c r="K67" s="394"/>
      <c r="L67" s="394"/>
      <c r="M67" s="394"/>
      <c r="N67" s="394"/>
      <c r="O67" s="394"/>
    </row>
    <row r="68" spans="2:15">
      <c r="B68" s="252"/>
      <c r="C68" s="252"/>
      <c r="D68" s="287" t="s">
        <v>257</v>
      </c>
      <c r="E68" s="400" t="s">
        <v>249</v>
      </c>
      <c r="F68" s="400"/>
      <c r="G68" s="400"/>
      <c r="H68" s="400" t="s">
        <v>258</v>
      </c>
      <c r="I68" s="400"/>
      <c r="J68" s="400"/>
      <c r="K68" s="287" t="s">
        <v>132</v>
      </c>
      <c r="L68" s="287" t="s">
        <v>259</v>
      </c>
      <c r="M68" s="252"/>
      <c r="N68" s="252"/>
      <c r="O68" s="252"/>
    </row>
    <row r="69" spans="2:15" ht="85.5">
      <c r="B69" s="252"/>
      <c r="C69" s="252"/>
      <c r="D69" s="288">
        <v>1</v>
      </c>
      <c r="E69" s="414" t="str">
        <f>'[2]INPUT DATA'!C52</f>
        <v>Eka Setiawati</v>
      </c>
      <c r="F69" s="415"/>
      <c r="G69" s="416"/>
      <c r="H69" s="417">
        <f>'[2]INPUT DATA'!C53</f>
        <v>3203115008810000</v>
      </c>
      <c r="I69" s="418"/>
      <c r="J69" s="419"/>
      <c r="K69" s="293" t="str">
        <f>'[2]INPUT DATA'!C54</f>
        <v>Kp. Warung Bawang RT 003 RW 004 Ds. Cibeureum Kec.Cugenang Kab. Cianjur</v>
      </c>
      <c r="L69" s="294">
        <f>'[2]INPUT DATA'!C55</f>
        <v>0.9</v>
      </c>
      <c r="M69" s="252"/>
      <c r="N69" s="252"/>
      <c r="O69" s="252"/>
    </row>
    <row r="70" spans="2:15" ht="85.5">
      <c r="B70" s="252"/>
      <c r="C70" s="252"/>
      <c r="D70" s="288">
        <v>2</v>
      </c>
      <c r="E70" s="420" t="str">
        <f>'[2]INPUT DATA'!C59</f>
        <v>S Emira Lisna Wati</v>
      </c>
      <c r="F70" s="421"/>
      <c r="G70" s="422"/>
      <c r="H70" s="417" t="str">
        <f>'[2]INPUT DATA'!C60</f>
        <v>3203114704030005</v>
      </c>
      <c r="I70" s="418"/>
      <c r="J70" s="419"/>
      <c r="K70" s="293" t="str">
        <f>'[2]INPUT DATA'!C61</f>
        <v>Kp. Mangun RT 002 RW 005 Ds. Mangunkerta Kec. Cugenang Kab. Cianjur</v>
      </c>
      <c r="L70" s="294">
        <f>'[2]INPUT DATA'!C62</f>
        <v>0.1</v>
      </c>
      <c r="M70" s="252"/>
      <c r="N70" s="252"/>
      <c r="O70" s="252"/>
    </row>
    <row r="71" spans="2:15">
      <c r="B71" s="252"/>
      <c r="C71" s="279" t="s">
        <v>134</v>
      </c>
      <c r="D71" s="387" t="s">
        <v>260</v>
      </c>
      <c r="E71" s="387"/>
      <c r="F71" s="387"/>
      <c r="G71" s="387"/>
      <c r="H71" s="387"/>
      <c r="I71" s="387"/>
      <c r="J71" s="387"/>
      <c r="K71" s="387"/>
      <c r="L71" s="387"/>
      <c r="M71" s="387"/>
      <c r="N71" s="387"/>
      <c r="O71" s="387"/>
    </row>
    <row r="72" spans="2:15">
      <c r="B72" s="252"/>
      <c r="C72" s="252"/>
      <c r="D72" s="280" t="s">
        <v>245</v>
      </c>
      <c r="E72" s="395" t="s">
        <v>261</v>
      </c>
      <c r="F72" s="395"/>
      <c r="G72" s="395"/>
      <c r="H72" s="395"/>
      <c r="I72" s="395"/>
      <c r="J72" s="265"/>
      <c r="K72" s="264" t="s">
        <v>102</v>
      </c>
      <c r="L72" s="423">
        <f>'[2]INPUT DATA'!C68</f>
        <v>828084582406000</v>
      </c>
      <c r="M72" s="423"/>
      <c r="N72" s="266"/>
      <c r="O72" s="252"/>
    </row>
    <row r="73" spans="2:15">
      <c r="B73" s="252"/>
      <c r="C73" s="252"/>
      <c r="D73" s="295" t="s">
        <v>262</v>
      </c>
      <c r="E73" s="296" t="s">
        <v>263</v>
      </c>
      <c r="F73" s="296"/>
      <c r="G73" s="296"/>
      <c r="H73" s="296"/>
      <c r="I73" s="296"/>
      <c r="J73" s="296"/>
      <c r="K73" s="292" t="s">
        <v>102</v>
      </c>
      <c r="L73" s="412" t="s">
        <v>264</v>
      </c>
      <c r="M73" s="412"/>
      <c r="N73" s="413"/>
      <c r="O73" s="252"/>
    </row>
    <row r="74" spans="2:15">
      <c r="B74" s="252"/>
      <c r="C74" s="252"/>
      <c r="D74" s="252"/>
      <c r="E74" s="252"/>
      <c r="F74" s="252"/>
      <c r="G74" s="252"/>
      <c r="H74" s="252"/>
      <c r="I74" s="252"/>
      <c r="J74" s="252"/>
      <c r="K74" s="252"/>
      <c r="L74" s="252"/>
      <c r="M74" s="252"/>
      <c r="N74" s="252"/>
      <c r="O74" s="252"/>
    </row>
    <row r="75" spans="2:15">
      <c r="B75" s="252"/>
      <c r="C75" s="382" t="s">
        <v>265</v>
      </c>
      <c r="D75" s="382"/>
      <c r="E75" s="382"/>
      <c r="F75" s="382"/>
      <c r="G75" s="382"/>
      <c r="H75" s="382"/>
      <c r="I75" s="382"/>
      <c r="J75" s="382"/>
      <c r="K75" s="382"/>
      <c r="L75" s="382"/>
      <c r="M75" s="382"/>
      <c r="N75" s="382"/>
      <c r="O75" s="382"/>
    </row>
    <row r="76" spans="2:15">
      <c r="B76" s="252"/>
      <c r="C76" s="252"/>
      <c r="D76" s="252"/>
      <c r="E76" s="252"/>
      <c r="F76" s="252"/>
      <c r="G76" s="252"/>
      <c r="H76" s="252"/>
      <c r="I76" s="252"/>
      <c r="J76" s="252"/>
      <c r="K76" s="252"/>
      <c r="L76" s="252"/>
      <c r="M76" s="252"/>
      <c r="N76" s="252"/>
      <c r="O76" s="252"/>
    </row>
    <row r="77" spans="2:15">
      <c r="B77" s="252"/>
      <c r="C77" s="252" t="str">
        <f>'[2]INPUT DATA'!C66</f>
        <v>CV. AL FATIH</v>
      </c>
      <c r="D77" s="252"/>
      <c r="E77" s="252"/>
      <c r="F77" s="252"/>
      <c r="G77" s="252"/>
      <c r="H77" s="252"/>
      <c r="I77" s="252"/>
      <c r="J77" s="252"/>
      <c r="K77" s="252"/>
      <c r="L77" s="252"/>
      <c r="M77" s="252"/>
      <c r="N77" s="252"/>
      <c r="O77" s="252"/>
    </row>
    <row r="78" spans="2:15">
      <c r="B78" s="252"/>
      <c r="C78" s="252"/>
      <c r="D78" s="252"/>
      <c r="E78" s="252"/>
      <c r="F78" s="252"/>
      <c r="G78" s="252"/>
      <c r="H78" s="252"/>
      <c r="I78" s="252"/>
      <c r="J78" s="252"/>
      <c r="K78" s="252"/>
      <c r="L78" s="252"/>
      <c r="M78" s="252"/>
      <c r="N78" s="252"/>
      <c r="O78" s="252"/>
    </row>
    <row r="79" spans="2:15">
      <c r="B79" s="252"/>
      <c r="C79" s="252"/>
      <c r="D79" s="252"/>
      <c r="E79" s="252"/>
      <c r="F79" s="252"/>
      <c r="G79" s="252"/>
      <c r="H79" s="252"/>
      <c r="I79" s="252"/>
      <c r="J79" s="252"/>
      <c r="K79" s="252"/>
      <c r="L79" s="252"/>
      <c r="M79" s="252"/>
      <c r="N79" s="252"/>
      <c r="O79" s="252"/>
    </row>
    <row r="80" spans="2:15">
      <c r="B80" s="252"/>
      <c r="C80" s="252"/>
      <c r="D80" s="252"/>
      <c r="E80" s="252"/>
      <c r="F80" s="252"/>
      <c r="G80" s="252"/>
      <c r="H80" s="252"/>
      <c r="I80" s="252"/>
      <c r="J80" s="252"/>
      <c r="K80" s="252"/>
      <c r="L80" s="252"/>
      <c r="M80" s="252"/>
      <c r="N80" s="252"/>
      <c r="O80" s="252"/>
    </row>
    <row r="81" spans="2:15">
      <c r="B81" s="252"/>
      <c r="C81" s="252"/>
      <c r="D81" s="252"/>
      <c r="E81" s="297"/>
      <c r="F81" s="252"/>
      <c r="G81" s="252"/>
      <c r="H81" s="252"/>
      <c r="I81" s="252"/>
      <c r="J81" s="252"/>
      <c r="K81" s="252"/>
      <c r="L81" s="252"/>
      <c r="M81" s="252"/>
      <c r="N81" s="252"/>
      <c r="O81" s="252"/>
    </row>
    <row r="82" spans="2:15">
      <c r="B82" s="252"/>
      <c r="C82" s="252"/>
      <c r="D82" s="252"/>
      <c r="E82" s="297"/>
      <c r="F82" s="252"/>
      <c r="G82" s="252"/>
      <c r="H82" s="252"/>
      <c r="I82" s="252"/>
      <c r="J82" s="252"/>
      <c r="K82" s="252"/>
      <c r="L82" s="252"/>
      <c r="M82" s="252"/>
      <c r="N82" s="252"/>
      <c r="O82" s="252"/>
    </row>
    <row r="83" spans="2:15">
      <c r="B83" s="252"/>
      <c r="C83" s="252"/>
      <c r="D83" s="252"/>
      <c r="E83" s="252"/>
      <c r="F83" s="252"/>
      <c r="G83" s="252"/>
      <c r="H83" s="252"/>
      <c r="I83" s="252"/>
      <c r="J83" s="252"/>
      <c r="K83" s="252"/>
      <c r="L83" s="252"/>
      <c r="M83" s="252"/>
      <c r="N83" s="252"/>
      <c r="O83" s="252"/>
    </row>
    <row r="84" spans="2:15">
      <c r="B84" s="252"/>
      <c r="C84" s="252"/>
      <c r="D84" s="252"/>
      <c r="E84" s="252"/>
      <c r="F84" s="252"/>
      <c r="G84" s="252"/>
      <c r="H84" s="252"/>
      <c r="I84" s="252"/>
      <c r="J84" s="252"/>
      <c r="K84" s="252"/>
      <c r="L84" s="252"/>
      <c r="M84" s="252"/>
      <c r="N84" s="252"/>
      <c r="O84" s="252"/>
    </row>
    <row r="85" spans="2:15">
      <c r="B85" s="252"/>
      <c r="C85" s="298" t="str">
        <f>'[2]INPUT DATA'!C52</f>
        <v>Eka Setiawati</v>
      </c>
      <c r="D85" s="252"/>
      <c r="E85" s="252"/>
      <c r="F85" s="252"/>
      <c r="G85" s="252"/>
      <c r="H85" s="252"/>
      <c r="I85" s="252"/>
      <c r="J85" s="252"/>
      <c r="K85" s="252"/>
      <c r="L85" s="252"/>
      <c r="M85" s="252"/>
      <c r="N85" s="252"/>
      <c r="O85" s="252"/>
    </row>
    <row r="86" spans="2:15">
      <c r="B86" s="252"/>
      <c r="C86" s="279" t="str">
        <f>'[2]INPUT DATA'!C56</f>
        <v>Direktur</v>
      </c>
      <c r="D86" s="252"/>
      <c r="E86" s="252"/>
      <c r="F86" s="252"/>
      <c r="G86" s="252"/>
      <c r="H86" s="252"/>
      <c r="I86" s="252"/>
      <c r="J86" s="252"/>
      <c r="K86" s="252"/>
      <c r="L86" s="252"/>
      <c r="M86" s="252"/>
      <c r="N86" s="252"/>
      <c r="O86" s="252"/>
    </row>
  </sheetData>
  <mergeCells count="74">
    <mergeCell ref="L73:N73"/>
    <mergeCell ref="C75:O75"/>
    <mergeCell ref="E69:G69"/>
    <mergeCell ref="H69:J69"/>
    <mergeCell ref="E70:G70"/>
    <mergeCell ref="H70:J70"/>
    <mergeCell ref="D71:O71"/>
    <mergeCell ref="E72:I72"/>
    <mergeCell ref="L72:M72"/>
    <mergeCell ref="E68:G68"/>
    <mergeCell ref="H68:J68"/>
    <mergeCell ref="D50:G50"/>
    <mergeCell ref="H50:J50"/>
    <mergeCell ref="K50:L50"/>
    <mergeCell ref="C59:O59"/>
    <mergeCell ref="D60:K60"/>
    <mergeCell ref="D61:K61"/>
    <mergeCell ref="D62:K62"/>
    <mergeCell ref="D63:K63"/>
    <mergeCell ref="M63:O63"/>
    <mergeCell ref="C66:O66"/>
    <mergeCell ref="D67:O67"/>
    <mergeCell ref="C47:O47"/>
    <mergeCell ref="D48:G48"/>
    <mergeCell ref="H48:J48"/>
    <mergeCell ref="K48:L48"/>
    <mergeCell ref="D49:G49"/>
    <mergeCell ref="H49:J49"/>
    <mergeCell ref="K49:L49"/>
    <mergeCell ref="E45:I45"/>
    <mergeCell ref="D34:I34"/>
    <mergeCell ref="C36:O36"/>
    <mergeCell ref="D37:N37"/>
    <mergeCell ref="E38:I38"/>
    <mergeCell ref="E39:I39"/>
    <mergeCell ref="E40:I40"/>
    <mergeCell ref="E41:N41"/>
    <mergeCell ref="D42:N42"/>
    <mergeCell ref="E43:I43"/>
    <mergeCell ref="E44:I44"/>
    <mergeCell ref="K44:L44"/>
    <mergeCell ref="D33:I33"/>
    <mergeCell ref="C19:O19"/>
    <mergeCell ref="C20:O20"/>
    <mergeCell ref="C22:L22"/>
    <mergeCell ref="D23:I23"/>
    <mergeCell ref="D25:I25"/>
    <mergeCell ref="D27:I27"/>
    <mergeCell ref="K27:N27"/>
    <mergeCell ref="D28:I28"/>
    <mergeCell ref="D29:I29"/>
    <mergeCell ref="D30:I30"/>
    <mergeCell ref="D31:I31"/>
    <mergeCell ref="D32:I32"/>
    <mergeCell ref="C18:O18"/>
    <mergeCell ref="B8:E8"/>
    <mergeCell ref="B9:E9"/>
    <mergeCell ref="G9:L9"/>
    <mergeCell ref="B10:E10"/>
    <mergeCell ref="G10:L10"/>
    <mergeCell ref="B11:E11"/>
    <mergeCell ref="G11:L11"/>
    <mergeCell ref="B13:L13"/>
    <mergeCell ref="C14:O14"/>
    <mergeCell ref="C15:O15"/>
    <mergeCell ref="C16:O16"/>
    <mergeCell ref="C17:O17"/>
    <mergeCell ref="B7:E7"/>
    <mergeCell ref="G7:L7"/>
    <mergeCell ref="B2:O2"/>
    <mergeCell ref="B5:E5"/>
    <mergeCell ref="G5:L5"/>
    <mergeCell ref="B6:E6"/>
    <mergeCell ref="G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In Produk</vt:lpstr>
      <vt:lpstr>In Data</vt:lpstr>
      <vt:lpstr>Dok Perencanaan</vt:lpstr>
      <vt:lpstr>Dok Hasil Nego</vt:lpstr>
      <vt:lpstr>Surat Pesanan</vt:lpstr>
      <vt:lpstr>Surat Hasil Pemeriksaan</vt:lpstr>
      <vt:lpstr>Berita Acara Serah Terima</vt:lpstr>
      <vt:lpstr>Faktur</vt:lpstr>
      <vt:lpstr>Kuitansi</vt:lpstr>
      <vt:lpstr>Cover</vt:lpstr>
      <vt:lpstr>Identitas Penyedia</vt:lpstr>
      <vt:lpstr>'Berita Acara Serah Terima'!Print_Area</vt:lpstr>
      <vt:lpstr>Cover!Print_Area</vt:lpstr>
      <vt:lpstr>'Dok Hasil Nego'!Print_Area</vt:lpstr>
      <vt:lpstr>'Dok Perencanaan'!Print_Area</vt:lpstr>
      <vt:lpstr>Faktur!Print_Area</vt:lpstr>
      <vt:lpstr>'Surat Pesanan'!Print_Area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Dezan Putra</cp:lastModifiedBy>
  <cp:lastPrinted>2026-03-07T06:06:05Z</cp:lastPrinted>
  <dcterms:created xsi:type="dcterms:W3CDTF">2022-11-12T00:26:28Z</dcterms:created>
  <dcterms:modified xsi:type="dcterms:W3CDTF">2026-06-22T10:49:16Z</dcterms:modified>
</cp:coreProperties>
</file>